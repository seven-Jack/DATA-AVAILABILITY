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seven/Desktop/07_rev2/"/>
    </mc:Choice>
  </mc:AlternateContent>
  <xr:revisionPtr revIDLastSave="0" documentId="13_ncr:1_{0B709B22-1114-5E4B-9D84-39364585355F}" xr6:coauthVersionLast="47" xr6:coauthVersionMax="47" xr10:uidLastSave="{00000000-0000-0000-0000-000000000000}"/>
  <bookViews>
    <workbookView xWindow="5520" yWindow="7880" windowWidth="22980" windowHeight="7580" firstSheet="3" activeTab="4" xr2:uid="{00000000-000D-0000-FFFF-FFFF00000000}"/>
  </bookViews>
  <sheets>
    <sheet name="table I Hg" sheetId="1" r:id="rId1"/>
    <sheet name="table II Cn" sheetId="2" r:id="rId2"/>
    <sheet name="table III FS" sheetId="3" r:id="rId3"/>
    <sheet name="table IV FS comparison" sheetId="4" r:id="rId4"/>
    <sheet name="table V alpha" sheetId="5" r:id="rId5"/>
    <sheet name="table VI CCSD(T)" sheetId="6" r:id="rId6"/>
    <sheet name="S I model" sheetId="7" r:id="rId7"/>
    <sheet name="S II Hg CI+MBPT" sheetId="8" r:id="rId8"/>
    <sheet name="S III Cn CI+MBPT" sheetId="9" r:id="rId9"/>
    <sheet name="S IV Hg per" sheetId="11" r:id="rId10"/>
    <sheet name="S V Cn per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" i="9" l="1"/>
  <c r="W17" i="9"/>
  <c r="AA17" i="9" s="1"/>
  <c r="Q17" i="9"/>
  <c r="U17" i="9" s="1"/>
  <c r="Y16" i="9"/>
  <c r="W16" i="9"/>
  <c r="AA16" i="9" s="1"/>
  <c r="Q16" i="9"/>
  <c r="U16" i="9" s="1"/>
  <c r="Y15" i="9"/>
  <c r="W15" i="9"/>
  <c r="AA15" i="9" s="1"/>
  <c r="Q15" i="9"/>
  <c r="U15" i="9" s="1"/>
  <c r="Y14" i="9"/>
  <c r="W14" i="9"/>
  <c r="AA14" i="9" s="1"/>
  <c r="Q14" i="9"/>
  <c r="U14" i="9" s="1"/>
  <c r="AA13" i="9"/>
  <c r="Y13" i="9"/>
  <c r="W13" i="9"/>
  <c r="Q13" i="9"/>
  <c r="U13" i="9" s="1"/>
  <c r="Y12" i="9"/>
  <c r="W12" i="9"/>
  <c r="AA12" i="9" s="1"/>
  <c r="Q12" i="9"/>
  <c r="U12" i="9" s="1"/>
  <c r="Y11" i="9"/>
  <c r="W11" i="9"/>
  <c r="AA11" i="9" s="1"/>
  <c r="Q11" i="9"/>
  <c r="U11" i="9" s="1"/>
  <c r="Y10" i="9"/>
  <c r="W10" i="9"/>
  <c r="AA10" i="9" s="1"/>
  <c r="Q10" i="9"/>
  <c r="U10" i="9" s="1"/>
  <c r="AA9" i="9"/>
  <c r="Y9" i="9"/>
  <c r="W9" i="9"/>
  <c r="U9" i="9"/>
  <c r="Q9" i="9"/>
  <c r="AA8" i="9"/>
  <c r="Y8" i="9"/>
  <c r="W8" i="9"/>
  <c r="U8" i="9"/>
  <c r="Q8" i="9"/>
  <c r="Y7" i="9"/>
  <c r="W7" i="9"/>
  <c r="AA7" i="9" s="1"/>
  <c r="U7" i="9"/>
  <c r="Q7" i="9"/>
  <c r="AA6" i="9"/>
  <c r="Y6" i="9"/>
  <c r="W6" i="9"/>
  <c r="Q6" i="9"/>
  <c r="U6" i="9" s="1"/>
  <c r="AA5" i="9"/>
  <c r="AA4" i="9"/>
  <c r="W4" i="9"/>
  <c r="U4" i="9"/>
  <c r="Q4" i="9"/>
  <c r="Y15" i="8"/>
  <c r="W15" i="8"/>
  <c r="AC15" i="8" s="1"/>
  <c r="Q15" i="8"/>
  <c r="U15" i="8" s="1"/>
  <c r="Y14" i="8"/>
  <c r="W14" i="8"/>
  <c r="AC14" i="8" s="1"/>
  <c r="Q14" i="8"/>
  <c r="Y13" i="8"/>
  <c r="W13" i="8"/>
  <c r="AC13" i="8" s="1"/>
  <c r="Q13" i="8"/>
  <c r="AC12" i="8"/>
  <c r="Y12" i="8"/>
  <c r="AA12" i="8" s="1"/>
  <c r="W12" i="8"/>
  <c r="Q12" i="8"/>
  <c r="U12" i="8" s="1"/>
  <c r="AC11" i="8"/>
  <c r="Y11" i="8"/>
  <c r="AA11" i="8" s="1"/>
  <c r="W11" i="8"/>
  <c r="Q11" i="8"/>
  <c r="Y10" i="8"/>
  <c r="W10" i="8"/>
  <c r="AC10" i="8" s="1"/>
  <c r="Q10" i="8"/>
  <c r="AC9" i="8"/>
  <c r="Y9" i="8"/>
  <c r="AA9" i="8" s="1"/>
  <c r="W9" i="8"/>
  <c r="Q9" i="8"/>
  <c r="U9" i="8" s="1"/>
  <c r="AC8" i="8"/>
  <c r="Y8" i="8"/>
  <c r="AA8" i="8" s="1"/>
  <c r="W8" i="8"/>
  <c r="U8" i="8"/>
  <c r="Q8" i="8"/>
  <c r="Y7" i="8"/>
  <c r="AA7" i="8" s="1"/>
  <c r="W7" i="8"/>
  <c r="AC7" i="8" s="1"/>
  <c r="U7" i="8"/>
  <c r="Q7" i="8"/>
  <c r="Y6" i="8"/>
  <c r="W6" i="8"/>
  <c r="AC6" i="8" s="1"/>
  <c r="U6" i="8"/>
  <c r="Q6" i="8"/>
  <c r="AA5" i="8"/>
  <c r="Y4" i="8"/>
  <c r="AA4" i="8" s="1"/>
  <c r="W4" i="8"/>
  <c r="Q4" i="8"/>
  <c r="U4" i="8" s="1"/>
  <c r="AA14" i="8" l="1"/>
  <c r="AA10" i="8"/>
  <c r="AA13" i="8"/>
  <c r="AA6" i="8"/>
  <c r="AA15" i="8"/>
  <c r="K25" i="3"/>
</calcChain>
</file>

<file path=xl/sharedStrings.xml><?xml version="1.0" encoding="utf-8"?>
<sst xmlns="http://schemas.openxmlformats.org/spreadsheetml/2006/main" count="2298" uniqueCount="255">
  <si>
    <t>&amp;</t>
  </si>
  <si>
    <t xml:space="preserve"> \multicolumn{7}{c}{EOM-RCCSD}</t>
  </si>
  <si>
    <t xml:space="preserve"> \multicolumn{3}{c}{CI+MBPT}</t>
  </si>
  <si>
    <t xml:space="preserve"> \multicolumn{4}{c}{Ref.}</t>
  </si>
  <si>
    <t>\\  \cline{3-9} \cline{11-13} \cline{15-18}  \addlinespace[0.2cm]</t>
  </si>
  <si>
    <t>$2\zeta^{s}$</t>
  </si>
  <si>
    <t>$3\zeta^{s}$</t>
  </si>
  <si>
    <t>$4\zeta^{s}$</t>
  </si>
  <si>
    <t>$4\zeta^{d}$</t>
  </si>
  <si>
    <t>$\Delta_{\rm QED}$</t>
  </si>
  <si>
    <t>Final</t>
  </si>
  <si>
    <t>\\ \hline\addlinespace[0.2cm]</t>
  </si>
  <si>
    <t>IP</t>
  </si>
  <si>
    <t>\\</t>
  </si>
  <si>
    <t>$6s^2$</t>
  </si>
  <si>
    <t>$^1S_0$</t>
  </si>
  <si>
    <t>84184.15</t>
  </si>
  <si>
    <t>EE</t>
  </si>
  <si>
    <t>$6s6p$</t>
  </si>
  <si>
    <t>$^3P_0$</t>
  </si>
  <si>
    <t>$^3P_1$</t>
  </si>
  <si>
    <t>$^3P_2$</t>
  </si>
  <si>
    <t>$^1P_1$</t>
  </si>
  <si>
    <t>$6s7s$</t>
  </si>
  <si>
    <t>$^3S_1$</t>
  </si>
  <si>
    <t>$5d^9 6s^2 6p$</t>
  </si>
  <si>
    <t>$6s7p$</t>
  </si>
  <si>
    <t>$^3D_3$</t>
  </si>
  <si>
    <t>\\ \hline\hline</t>
  </si>
  <si>
    <t>\\  \cline{3-9} \cline{11-13} \cline{15-18} \addlinespace[0.2cm]</t>
  </si>
  <si>
    <t>$6d^{10} 7s^2$</t>
  </si>
  <si>
    <t>$6d^9 7s^2 7p$</t>
  </si>
  <si>
    <t>$^3F_3$</t>
  </si>
  <si>
    <t>$6d^{10} 7s7p$</t>
  </si>
  <si>
    <t>$^3F_4$</t>
  </si>
  <si>
    <t>$^3D_2$</t>
  </si>
  <si>
    <t>$J=3$</t>
  </si>
  <si>
    <t xml:space="preserve"> $J=2$</t>
  </si>
  <si>
    <t xml:space="preserve">\\ </t>
  </si>
  <si>
    <t>$6d^{10} 7s8s$</t>
  </si>
  <si>
    <t>\\\hline\hline</t>
  </si>
  <si>
    <t>Hg</t>
  </si>
  <si>
    <t>Cn</t>
  </si>
  <si>
    <t>$6d^9 7s^2 6p$</t>
  </si>
  <si>
    <t xml:space="preserve"> \multicolumn{4}{c}{EOM-RCCSD}</t>
    <phoneticPr fontId="1" type="noConversion"/>
  </si>
  <si>
    <t>Final</t>
    <phoneticPr fontId="1" type="noConversion"/>
  </si>
  <si>
    <t xml:space="preserve"> \multicolumn{2}{c}{CI+MBPT }</t>
    <phoneticPr fontId="1" type="noConversion"/>
  </si>
  <si>
    <t>265 nm</t>
  </si>
  <si>
    <t xml:space="preserve">MCDHF \cite{schelfhout2022multiconfiguration} </t>
  </si>
  <si>
    <t>254 nm</t>
  </si>
  <si>
    <t>electronic X-ray \cite{lee1978variations}</t>
  </si>
  <si>
    <t>muonic X-ray \cite{hahn1979experimental}</t>
  </si>
  <si>
    <t>MCDF \cite{torbohm1985state}</t>
  </si>
  <si>
    <t>semi-emp. \cite{ulm1986isotope}</t>
  </si>
  <si>
    <t>546 nm</t>
  </si>
  <si>
    <t>9.73</t>
  </si>
  <si>
    <t>$\alpha^S$</t>
  </si>
  <si>
    <t>33.91(34),</t>
  </si>
  <si>
    <t>Expt. \cite{goebel1996dipole}</t>
  </si>
  <si>
    <t>33.75,</t>
  </si>
  <si>
    <t>Expt. \cite{tang2008dynamical}</t>
  </si>
  <si>
    <t>34.15,</t>
  </si>
  <si>
    <t>RCCSD(T) \cite{pershina2008prediction}</t>
  </si>
  <si>
    <t>34.1,</t>
  </si>
  <si>
    <t>RCCSD(T) \cite{borschevsky2015high}</t>
  </si>
  <si>
    <t>34.27,</t>
  </si>
  <si>
    <t>RCCSD(T) \cite{singh2015rigorous}</t>
  </si>
  <si>
    <t>33.69(34),</t>
  </si>
  <si>
    <t>RCCSD(T) \cite{kumar2021relativistic}</t>
  </si>
  <si>
    <t>34.04(68),</t>
  </si>
  <si>
    <t>RCCSD(T) \cite{cheng2025relativistic}</t>
  </si>
  <si>
    <t>35.7,</t>
  </si>
  <si>
    <t>RCI \cite{fleig2019p}</t>
  </si>
  <si>
    <t>34.2(5),</t>
  </si>
  <si>
    <t>RNCCSD \cite{sahoo2018relativistic}</t>
  </si>
  <si>
    <t>33.6,</t>
  </si>
  <si>
    <t>CI+MBPT \cite{hachisu2008trapping}</t>
  </si>
  <si>
    <t>54.6,</t>
  </si>
  <si>
    <t>$\alpha^T$</t>
  </si>
  <si>
    <t>\multicolumn{2}{r}{$^3P_0-^1S_0$}</t>
  </si>
  <si>
    <t>$\Delta\alpha^S$</t>
  </si>
  <si>
    <t>21.0,</t>
  </si>
  <si>
    <t>$7s^2$</t>
  </si>
  <si>
    <t>28.68,</t>
  </si>
  <si>
    <t>RCCSD(T) \cite{roos2005new}</t>
  </si>
  <si>
    <t>27.40,</t>
  </si>
  <si>
    <t>27.44(88),</t>
  </si>
  <si>
    <t>27.92(28),</t>
  </si>
  <si>
    <t>25.82,</t>
  </si>
  <si>
    <t>RCCSD(T)(PPs) \cite{seth1997chemistry}</t>
  </si>
  <si>
    <t>28(4),</t>
  </si>
  <si>
    <t>RHF-RPA \cite{dzuba2016ionization}</t>
  </si>
  <si>
    <t>$6d^9 6p$</t>
  </si>
  <si>
    <t>$7s7p$</t>
  </si>
  <si>
    <t>\\</t>
    <phoneticPr fontId="1" type="noConversion"/>
  </si>
  <si>
    <t>34.09</t>
    <phoneticPr fontId="1" type="noConversion"/>
  </si>
  <si>
    <t>27.96</t>
    <phoneticPr fontId="1" type="noConversion"/>
  </si>
  <si>
    <t>\\\hline\hline</t>
    <phoneticPr fontId="1" type="noConversion"/>
  </si>
  <si>
    <t>Hg</t>
    <phoneticPr fontId="1" type="noConversion"/>
  </si>
  <si>
    <t>Cn</t>
    <phoneticPr fontId="1" type="noConversion"/>
  </si>
  <si>
    <t>\\ \addlinespace[0.1cm]</t>
    <phoneticPr fontId="1" type="noConversion"/>
  </si>
  <si>
    <t>$E^{\rm a}$</t>
    <phoneticPr fontId="1" type="noConversion"/>
  </si>
  <si>
    <t>$E^{\rm b}$</t>
    <phoneticPr fontId="1" type="noConversion"/>
  </si>
  <si>
    <t>$E^{\rm c}$</t>
    <phoneticPr fontId="1" type="noConversion"/>
  </si>
  <si>
    <t xml:space="preserve">$E^{\rm d}$ </t>
    <phoneticPr fontId="1" type="noConversion"/>
  </si>
  <si>
    <t>$E^a$</t>
    <phoneticPr fontId="1" type="noConversion"/>
  </si>
  <si>
    <t>$E^b$</t>
    <phoneticPr fontId="1" type="noConversion"/>
  </si>
  <si>
    <t>$E^c$</t>
    <phoneticPr fontId="1" type="noConversion"/>
  </si>
  <si>
    <t xml:space="preserve">96545 $^e$ </t>
    <phoneticPr fontId="1" type="noConversion"/>
  </si>
  <si>
    <t>94165 $^f$</t>
    <phoneticPr fontId="1" type="noConversion"/>
  </si>
  <si>
    <t>-57.71(99)</t>
  </si>
  <si>
    <t>-55.1(3.1)</t>
  </si>
  <si>
    <t>-52.1(1.0)</t>
  </si>
  <si>
    <t xml:space="preserve">-58.07(1.00) </t>
  </si>
  <si>
    <t>-64.8(6.0)</t>
  </si>
  <si>
    <t>\\ \hline\hline</t>
    <phoneticPr fontId="1" type="noConversion"/>
  </si>
  <si>
    <t>\multicolumn{1}{c}{Ref.}</t>
    <phoneticPr fontId="1" type="noConversion"/>
  </si>
  <si>
    <t>\multicolumn{2}{c}{Ref.}</t>
    <phoneticPr fontId="1" type="noConversion"/>
  </si>
  <si>
    <t xml:space="preserve">\\ \addlinespace[0.1cm] </t>
    <phoneticPr fontId="1" type="noConversion"/>
  </si>
  <si>
    <t xml:space="preserve">\\\hline \addlinespace[0.2cm] </t>
    <phoneticPr fontId="1" type="noConversion"/>
  </si>
  <si>
    <t>Transition</t>
    <phoneticPr fontId="1" type="noConversion"/>
  </si>
  <si>
    <t>\\\hline  \addlinespace[0.2cm]</t>
    <phoneticPr fontId="1" type="noConversion"/>
  </si>
  <si>
    <t>\\\hline \addlinespace[0.2cm]</t>
    <phoneticPr fontId="1" type="noConversion"/>
  </si>
  <si>
    <t>\\ \hline \addlinespace[0.1cm]</t>
    <phoneticPr fontId="1" type="noConversion"/>
  </si>
  <si>
    <t>\\ \hline \addlinespace[0.2cm]</t>
    <phoneticPr fontId="1" type="noConversion"/>
  </si>
  <si>
    <t>$E$</t>
    <phoneticPr fontId="1" type="noConversion"/>
  </si>
  <si>
    <t>\\\cline{3-6} \cline{8-9} \addlinespace[0.2cm]</t>
    <phoneticPr fontId="1" type="noConversion"/>
  </si>
  <si>
    <t xml:space="preserve">\\ </t>
    <phoneticPr fontId="1" type="noConversion"/>
  </si>
  <si>
    <t>\\ \cline{4-6} \addlinespace[0.1cm]</t>
    <phoneticPr fontId="1" type="noConversion"/>
  </si>
  <si>
    <t>$\Delta_{\rm QED}$</t>
    <phoneticPr fontId="1" type="noConversion"/>
  </si>
  <si>
    <t xml:space="preserve"> \multicolumn{2}{c}{EOM-RCCSD}</t>
    <phoneticPr fontId="1" type="noConversion"/>
  </si>
  <si>
    <t>Values</t>
    <phoneticPr fontId="1" type="noConversion"/>
  </si>
  <si>
    <t>&amp;</t>
    <phoneticPr fontId="1" type="noConversion"/>
  </si>
  <si>
    <t xml:space="preserve"> \multicolumn{2}{c}{CI+MBPT}</t>
    <phoneticPr fontId="1" type="noConversion"/>
  </si>
  <si>
    <t>\\ \cline{2-3} \cline{5-6} \addlinespace[0.2cm]</t>
    <phoneticPr fontId="1" type="noConversion"/>
  </si>
  <si>
    <t>\multicolumn{3}{c}{EOM-RCCSD}</t>
    <phoneticPr fontId="1" type="noConversion"/>
  </si>
  <si>
    <t>IP</t>
    <phoneticPr fontId="1" type="noConversion"/>
  </si>
  <si>
    <t>$\alpha$</t>
    <phoneticPr fontId="1" type="noConversion"/>
  </si>
  <si>
    <t>27.98</t>
    <phoneticPr fontId="1" type="noConversion"/>
  </si>
  <si>
    <t>\multicolumn{2}{c}{States}</t>
  </si>
  <si>
    <t>Unc.</t>
    <phoneticPr fontId="1" type="noConversion"/>
  </si>
  <si>
    <t>\\\hline \hline</t>
    <phoneticPr fontId="1" type="noConversion"/>
  </si>
  <si>
    <t>$\Delta_{\rm pT}$</t>
    <phoneticPr fontId="1" type="noConversion"/>
  </si>
  <si>
    <t>e34</t>
  </si>
  <si>
    <t>e44</t>
  </si>
  <si>
    <t>e52</t>
  </si>
  <si>
    <t>e62</t>
  </si>
  <si>
    <t xml:space="preserve">NIST \cite{kramida2020nist} </t>
  </si>
  <si>
    <t>\\ \hline\addlinespace[0.1cm]</t>
  </si>
  <si>
    <t>0</t>
  </si>
  <si>
    <t>37644.982</t>
  </si>
  <si>
    <t>39412.237</t>
  </si>
  <si>
    <t>44042.909</t>
  </si>
  <si>
    <t>54068.6829</t>
  </si>
  <si>
    <t>68886.43</t>
  </si>
  <si>
    <t>70932.2</t>
  </si>
  <si>
    <t>$n$=16</t>
  </si>
  <si>
    <t>$n$=18</t>
    <phoneticPr fontId="1" type="noConversion"/>
  </si>
  <si>
    <t>$n$=20</t>
  </si>
  <si>
    <t>$+ghi$</t>
    <phoneticPr fontId="1" type="noConversion"/>
  </si>
  <si>
    <t>+SDSS</t>
    <phoneticPr fontId="1" type="noConversion"/>
  </si>
  <si>
    <t>$n$=18$^{\rm {QED}}$</t>
    <phoneticPr fontId="1" type="noConversion"/>
  </si>
  <si>
    <t>$n$=18$^{\rm d-SD}$</t>
  </si>
  <si>
    <t>{\bf Final}</t>
    <phoneticPr fontId="1" type="noConversion"/>
  </si>
  <si>
    <t>Unc.-I</t>
    <phoneticPr fontId="1" type="noConversion"/>
  </si>
  <si>
    <t>Unc.-II</t>
    <phoneticPr fontId="1" type="noConversion"/>
  </si>
  <si>
    <t>\\ \hline\addlinespace[0.2cm]</t>
    <phoneticPr fontId="1" type="noConversion"/>
  </si>
  <si>
    <t>87642$^*$</t>
  </si>
  <si>
    <t>89462$^*$</t>
  </si>
  <si>
    <t>95045$^*$</t>
  </si>
  <si>
    <t>95255$^*$</t>
  </si>
  <si>
    <t>II</t>
    <phoneticPr fontId="1" type="noConversion"/>
  </si>
  <si>
    <t>I</t>
    <phoneticPr fontId="1" type="noConversion"/>
  </si>
  <si>
    <t>III</t>
    <phoneticPr fontId="1" type="noConversion"/>
  </si>
  <si>
    <t>IV</t>
    <phoneticPr fontId="1" type="noConversion"/>
  </si>
  <si>
    <t>V</t>
    <phoneticPr fontId="1" type="noConversion"/>
  </si>
  <si>
    <t>VI</t>
    <phoneticPr fontId="1" type="noConversion"/>
  </si>
  <si>
    <t>VII</t>
    <phoneticPr fontId="1" type="noConversion"/>
  </si>
  <si>
    <t>VIII</t>
    <phoneticPr fontId="1" type="noConversion"/>
  </si>
  <si>
    <t>IX</t>
    <phoneticPr fontId="1" type="noConversion"/>
  </si>
  <si>
    <t>X</t>
    <phoneticPr fontId="1" type="noConversion"/>
  </si>
  <si>
    <t>XI</t>
    <phoneticPr fontId="1" type="noConversion"/>
  </si>
  <si>
    <t>XII</t>
    <phoneticPr fontId="1" type="noConversion"/>
  </si>
  <si>
    <t>XIII</t>
    <phoneticPr fontId="1" type="noConversion"/>
  </si>
  <si>
    <t>$n$=18</t>
  </si>
  <si>
    <t>+ghi</t>
    <phoneticPr fontId="1" type="noConversion"/>
  </si>
  <si>
    <t>$n$=18$^{QED}$</t>
    <phoneticPr fontId="1" type="noConversion"/>
  </si>
  <si>
    <t>{\bf Final}</t>
  </si>
  <si>
    <t>&amp;&amp;</t>
  </si>
  <si>
    <t>\multicolumn{2}{c}{CI+MBPT}</t>
  </si>
  <si>
    <t>\\ \cline{3-3} \cline{5-6} \addlinespace[0.1cm]</t>
    <phoneticPr fontId="1" type="noConversion"/>
  </si>
  <si>
    <t>d-aug-dyall.aae4z</t>
  </si>
  <si>
    <t>$n$=18$^{d-SD}$</t>
    <phoneticPr fontId="1" type="noConversion"/>
  </si>
  <si>
    <t>$6s^2$ 97\%</t>
  </si>
  <si>
    <t>$6s^2$ 91\%; $5d^{-1}6s^26d$ 2\%</t>
    <phoneticPr fontId="1" type="noConversion"/>
  </si>
  <si>
    <t>$6s^2$ 88\%; $5d^{-1}6s^26d$ 1\%</t>
    <phoneticPr fontId="1" type="noConversion"/>
  </si>
  <si>
    <t>$6s6p$ 97\%</t>
  </si>
  <si>
    <t>$6s6p$ 94\%</t>
    <phoneticPr fontId="1" type="noConversion"/>
  </si>
  <si>
    <t>$6s6p$ 91\%</t>
  </si>
  <si>
    <t>$6s6p$ 95\%</t>
  </si>
  <si>
    <t>$6s6p$ 93\%</t>
    <phoneticPr fontId="1" type="noConversion"/>
  </si>
  <si>
    <t>$6s6p$ 90\%</t>
  </si>
  <si>
    <t>$6s6p$ 92\%; $5d^{-1}6s^26p$ 2\%</t>
  </si>
  <si>
    <t>$6s6p$ 89\%; $5d^{-1}6s^26p$ 3\%</t>
  </si>
  <si>
    <t>$6s6p$ 92\%</t>
  </si>
  <si>
    <t>$6s6p$ 91\%; $5d^{-1}6s^26p$ 3\%</t>
  </si>
  <si>
    <t>$6s6p$ 87\%; $5d^{-1}6s^26p$ 4\%</t>
  </si>
  <si>
    <t>$6s7s$ 98\%</t>
  </si>
  <si>
    <t>$6s7s$ 96\%</t>
  </si>
  <si>
    <t>$6s7s$ 95\%</t>
  </si>
  <si>
    <t>$6s7s$ 97\%</t>
  </si>
  <si>
    <t>$5^96s^26p$ 91\%</t>
  </si>
  <si>
    <t>$5d^{-1}6s^26p$ 55\%; $6s6p$ 41\%</t>
  </si>
  <si>
    <t>$5d^{-1}6s^26p$ 90\%; $6s6p$ 2\%</t>
  </si>
  <si>
    <t>$6s7p$ 94\%</t>
  </si>
  <si>
    <t>$6s7p$ 96\%</t>
  </si>
  <si>
    <t>$6s7p$ 94\%; $5d^{-1}6s^26p$ 2\%</t>
  </si>
  <si>
    <t>$6s7p$ 93\%; $5d^{-1}6s^26p$ 3\%</t>
  </si>
  <si>
    <t>$5^96s^26p$ 94\%</t>
  </si>
  <si>
    <t>$5d^{-1}6s^26p$ 96\%</t>
    <phoneticPr fontId="1" type="noConversion"/>
  </si>
  <si>
    <t>$5d^{-1}6s^26p$ 92\%</t>
  </si>
  <si>
    <t>$7s^2$ 95\%</t>
  </si>
  <si>
    <t>$7s^2$ 90\%; $6d^{-1}7s^27d$ 4\%</t>
    <phoneticPr fontId="1" type="noConversion"/>
  </si>
  <si>
    <t>$7s^2$ 86\%; $6d^{-1}7s^27d$ 4\%</t>
  </si>
  <si>
    <t>$6d^97s^27p$ 93\%</t>
  </si>
  <si>
    <t>$6d^{-1}7s^27p$ 97\%</t>
    <phoneticPr fontId="1" type="noConversion"/>
  </si>
  <si>
    <t>$6d^{-1}7s^27p$ 92\%</t>
  </si>
  <si>
    <t>$6d^97s^27p$ 96\%</t>
  </si>
  <si>
    <t>$6d^{-1}7s^27p$ 98\%</t>
  </si>
  <si>
    <t>$6d^{-1}7s^27p$ 93\%</t>
  </si>
  <si>
    <t>$7s7p$ 94\%</t>
  </si>
  <si>
    <t>$7s7p$ 91\%; $6d^{-1}7s^27p$ 2\%</t>
    <phoneticPr fontId="1" type="noConversion"/>
  </si>
  <si>
    <t>$7s7p$ 87\%; $6d^{-1}7s^27p$ 3\%</t>
    <phoneticPr fontId="1" type="noConversion"/>
  </si>
  <si>
    <t>$7s7p$ 84\%</t>
  </si>
  <si>
    <t>$7s7p$ 80\%; $6d^{-1}7s^27p$ 14\%</t>
    <phoneticPr fontId="1" type="noConversion"/>
  </si>
  <si>
    <t>$7s7p$ 61\%; $6d^{-1}7s^27p$ 29\%</t>
    <phoneticPr fontId="1" type="noConversion"/>
  </si>
  <si>
    <t>$6d^97s^27p$ 91\%</t>
  </si>
  <si>
    <t>$6d^{-1}7s^27p$ 95\%; $7s7p$ 3\%</t>
    <phoneticPr fontId="1" type="noConversion"/>
  </si>
  <si>
    <t>$6d^{-1}7s^27p$ 90\%; $7s7p$ 2\%</t>
  </si>
  <si>
    <t>$6d^97s^27p$ 92\%</t>
  </si>
  <si>
    <t>$6d^{-1}7s^27p$ 91\%; $7s7p$ 6\%</t>
  </si>
  <si>
    <t>$6d^{-1}7s^27p$ 78\%; $7s7p$ 15\%</t>
  </si>
  <si>
    <t>$6d^97s^27p$ 95\%</t>
  </si>
  <si>
    <t>$J=2$</t>
  </si>
  <si>
    <t>$6d^{-1}7s^27p$ 97\%</t>
  </si>
  <si>
    <t>$6d^{-1}7s^27p$ 80\%; $7s7p$ 16\%</t>
  </si>
  <si>
    <t>$6d^{-1}7s^27p$ 75\%; $7s7p$ 16\%</t>
  </si>
  <si>
    <t>$7s7p$ 92\%</t>
  </si>
  <si>
    <t>$7s7p$ 88\%; $6d^{-1}7s^27p$ 6\%</t>
    <phoneticPr fontId="1" type="noConversion"/>
  </si>
  <si>
    <t>$7s7p$ 86\%; $6d^{-1}7s^27p$ 3\%</t>
    <phoneticPr fontId="1" type="noConversion"/>
  </si>
  <si>
    <t>$7s7p$ 73\%; $6d^{-1}7s^27p$ 21\%</t>
    <phoneticPr fontId="1" type="noConversion"/>
  </si>
  <si>
    <t>$7s7p$ 80\%; $6d^{-1}7s^27p$ 10\%</t>
    <phoneticPr fontId="1" type="noConversion"/>
  </si>
  <si>
    <t xml:space="preserve"> \multicolumn{4}{c}{dyall.ae2z-lt10}</t>
    <phoneticPr fontId="1" type="noConversion"/>
  </si>
  <si>
    <t>\\  \cline{3-6}  \addlinespace[0.1cm]</t>
    <phoneticPr fontId="1" type="noConversion"/>
  </si>
  <si>
    <t>EOM-RCCSD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</si>
</sst>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u/>
      <sz val="11"/>
      <name val="等线"/>
      <family val="4"/>
      <charset val="134"/>
      <scheme val="minor"/>
    </font>
    <font>
      <sz val="11"/>
      <color rgb="FFFF0000"/>
      <name val="等线"/>
      <family val="4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4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177" fontId="0" fillId="0" borderId="0" xfId="0" applyNumberFormat="1"/>
    <xf numFmtId="176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177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77" fontId="5" fillId="0" borderId="0" xfId="0" applyNumberFormat="1" applyFont="1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6" fontId="2" fillId="0" borderId="0" xfId="1" applyNumberForma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8" fillId="0" borderId="0" xfId="0" applyNumberFormat="1" applyFont="1" applyAlignment="1">
      <alignment vertical="center"/>
    </xf>
    <xf numFmtId="176" fontId="9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./hline/hlin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/%20%20/cline%7b3-9%7d%20/cline%7b11-13%7d%20%20/addlinespace%5b0.2cm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opLeftCell="AC1" zoomScale="120" zoomScaleNormal="120" workbookViewId="0">
      <selection activeCell="X2" sqref="X2"/>
    </sheetView>
  </sheetViews>
  <sheetFormatPr baseColWidth="10" defaultColWidth="8.83203125" defaultRowHeight="15"/>
  <cols>
    <col min="1" max="1" width="15.33203125" style="10" bestFit="1" customWidth="1"/>
    <col min="2" max="2" width="3.33203125" style="10" bestFit="1" customWidth="1"/>
    <col min="3" max="3" width="9.33203125" style="10" bestFit="1" customWidth="1"/>
    <col min="4" max="4" width="3.33203125" style="10" bestFit="1" customWidth="1"/>
    <col min="5" max="5" width="11.83203125" style="10" bestFit="1" customWidth="1"/>
    <col min="6" max="6" width="3.33203125" style="10" bestFit="1" customWidth="1"/>
    <col min="7" max="7" width="11.83203125" style="10" bestFit="1" customWidth="1"/>
    <col min="8" max="8" width="3.33203125" style="10" bestFit="1" customWidth="1"/>
    <col min="9" max="9" width="11.83203125" style="10" bestFit="1" customWidth="1"/>
    <col min="10" max="10" width="3.33203125" style="10" bestFit="1" customWidth="1"/>
    <col min="11" max="11" width="12.1640625" style="10" bestFit="1" customWidth="1"/>
    <col min="12" max="12" width="3.33203125" style="10" bestFit="1" customWidth="1"/>
    <col min="13" max="13" width="18.1640625" style="10" bestFit="1" customWidth="1"/>
    <col min="14" max="14" width="3.33203125" style="10" bestFit="1" customWidth="1"/>
    <col min="15" max="15" width="7.5" style="10" bestFit="1" customWidth="1"/>
    <col min="16" max="16" width="3.33203125" style="10" bestFit="1" customWidth="1"/>
    <col min="17" max="17" width="17" style="10" bestFit="1" customWidth="1"/>
    <col min="18" max="19" width="3.33203125" style="10" bestFit="1" customWidth="1"/>
    <col min="20" max="20" width="18.1640625" style="10" bestFit="1" customWidth="1"/>
    <col min="21" max="21" width="3.33203125" style="10" bestFit="1" customWidth="1"/>
    <col min="22" max="22" width="7.5" style="10" bestFit="1" customWidth="1"/>
    <col min="23" max="23" width="3.33203125" style="10" bestFit="1" customWidth="1"/>
    <col min="24" max="24" width="17" style="10" bestFit="1" customWidth="1"/>
    <col min="25" max="26" width="3.33203125" style="10" bestFit="1" customWidth="1"/>
    <col min="27" max="27" width="27.33203125" style="10" bestFit="1" customWidth="1"/>
    <col min="28" max="28" width="3.33203125" style="10" bestFit="1" customWidth="1"/>
    <col min="29" max="29" width="33.5" style="10" bestFit="1" customWidth="1"/>
    <col min="30" max="30" width="3.33203125" style="10" bestFit="1" customWidth="1"/>
    <col min="31" max="31" width="37.1640625" style="10" bestFit="1" customWidth="1"/>
    <col min="32" max="32" width="3.33203125" style="10" bestFit="1" customWidth="1"/>
    <col min="33" max="33" width="31.6640625" style="10" bestFit="1" customWidth="1"/>
    <col min="34" max="34" width="56" style="10" bestFit="1" customWidth="1"/>
    <col min="35" max="35" width="8.83203125" style="10"/>
    <col min="36" max="36" width="12.6640625" style="10" bestFit="1" customWidth="1"/>
    <col min="37" max="37" width="11.6640625" style="10" bestFit="1" customWidth="1"/>
    <col min="38" max="16384" width="8.83203125" style="10"/>
  </cols>
  <sheetData>
    <row r="1" spans="1:34">
      <c r="A1" s="1"/>
      <c r="B1" s="1" t="s">
        <v>0</v>
      </c>
      <c r="C1" s="1"/>
      <c r="D1" s="8" t="s">
        <v>0</v>
      </c>
      <c r="E1" s="14" t="s">
        <v>1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8" t="s">
        <v>0</v>
      </c>
      <c r="S1" s="8" t="s">
        <v>0</v>
      </c>
      <c r="T1" s="14" t="s">
        <v>2</v>
      </c>
      <c r="U1" s="14"/>
      <c r="V1" s="14"/>
      <c r="W1" s="14"/>
      <c r="X1" s="14"/>
      <c r="Y1" s="10" t="s">
        <v>0</v>
      </c>
      <c r="Z1" s="10" t="s">
        <v>0</v>
      </c>
      <c r="AA1" s="15" t="s">
        <v>3</v>
      </c>
      <c r="AB1" s="15"/>
      <c r="AC1" s="15"/>
      <c r="AD1" s="15"/>
      <c r="AE1" s="15"/>
      <c r="AF1" s="15"/>
      <c r="AG1" s="15"/>
      <c r="AH1" s="10" t="s">
        <v>4</v>
      </c>
    </row>
    <row r="2" spans="1:34">
      <c r="A2" s="17" t="s">
        <v>139</v>
      </c>
      <c r="B2" s="17"/>
      <c r="C2" s="17"/>
      <c r="D2" s="8" t="s">
        <v>0</v>
      </c>
      <c r="E2" s="8" t="s">
        <v>5</v>
      </c>
      <c r="F2" s="8" t="s">
        <v>0</v>
      </c>
      <c r="G2" s="8" t="s">
        <v>6</v>
      </c>
      <c r="H2" s="8" t="s">
        <v>0</v>
      </c>
      <c r="I2" s="8" t="s">
        <v>7</v>
      </c>
      <c r="J2" s="8" t="s">
        <v>0</v>
      </c>
      <c r="K2" s="8" t="s">
        <v>8</v>
      </c>
      <c r="L2" s="8" t="s">
        <v>0</v>
      </c>
      <c r="M2" s="8" t="s">
        <v>9</v>
      </c>
      <c r="N2" s="8" t="s">
        <v>0</v>
      </c>
      <c r="O2" s="8" t="s">
        <v>10</v>
      </c>
      <c r="P2" s="8" t="s">
        <v>0</v>
      </c>
      <c r="Q2" s="8" t="s">
        <v>140</v>
      </c>
      <c r="R2" s="8" t="s">
        <v>0</v>
      </c>
      <c r="S2" s="8" t="s">
        <v>0</v>
      </c>
      <c r="T2" s="8" t="s">
        <v>9</v>
      </c>
      <c r="U2" s="8" t="s">
        <v>0</v>
      </c>
      <c r="V2" s="8" t="s">
        <v>10</v>
      </c>
      <c r="W2" s="8" t="s">
        <v>0</v>
      </c>
      <c r="X2" s="8" t="s">
        <v>140</v>
      </c>
      <c r="Y2" s="10" t="s">
        <v>0</v>
      </c>
      <c r="Z2" s="10" t="s">
        <v>0</v>
      </c>
      <c r="AA2" s="10" t="s">
        <v>101</v>
      </c>
      <c r="AB2" s="10" t="s">
        <v>0</v>
      </c>
      <c r="AC2" s="10" t="s">
        <v>102</v>
      </c>
      <c r="AD2" s="10" t="s">
        <v>0</v>
      </c>
      <c r="AE2" s="10" t="s">
        <v>103</v>
      </c>
      <c r="AF2" s="10" t="s">
        <v>0</v>
      </c>
      <c r="AG2" s="10" t="s">
        <v>104</v>
      </c>
      <c r="AH2" s="10" t="s">
        <v>11</v>
      </c>
    </row>
    <row r="3" spans="1:34">
      <c r="A3" s="8" t="s">
        <v>12</v>
      </c>
      <c r="B3" s="8" t="s">
        <v>0</v>
      </c>
      <c r="C3" s="8"/>
      <c r="D3" s="8" t="s">
        <v>0</v>
      </c>
      <c r="E3" s="8"/>
      <c r="F3" s="8" t="s">
        <v>0</v>
      </c>
      <c r="G3" s="8"/>
      <c r="H3" s="8" t="s">
        <v>0</v>
      </c>
      <c r="I3" s="8"/>
      <c r="J3" s="8" t="s">
        <v>0</v>
      </c>
      <c r="K3" s="8"/>
      <c r="L3" s="8" t="s">
        <v>0</v>
      </c>
      <c r="M3" s="8"/>
      <c r="N3" s="8" t="s">
        <v>0</v>
      </c>
      <c r="O3" s="8"/>
      <c r="P3" s="8" t="s">
        <v>0</v>
      </c>
      <c r="Q3" s="8"/>
      <c r="R3" s="8" t="s">
        <v>0</v>
      </c>
      <c r="S3" s="8" t="s">
        <v>0</v>
      </c>
      <c r="T3" s="8"/>
      <c r="U3" s="8" t="s">
        <v>0</v>
      </c>
      <c r="V3" s="8"/>
      <c r="W3" s="8" t="s">
        <v>0</v>
      </c>
      <c r="X3" s="8"/>
      <c r="Y3" s="10" t="s">
        <v>0</v>
      </c>
      <c r="Z3" s="10" t="s">
        <v>0</v>
      </c>
      <c r="AB3" s="10" t="s">
        <v>0</v>
      </c>
      <c r="AD3" s="10" t="s">
        <v>0</v>
      </c>
      <c r="AF3" s="10" t="s">
        <v>0</v>
      </c>
      <c r="AH3" s="10" t="s">
        <v>13</v>
      </c>
    </row>
    <row r="4" spans="1:34">
      <c r="A4" s="8" t="s">
        <v>14</v>
      </c>
      <c r="B4" s="8" t="s">
        <v>0</v>
      </c>
      <c r="C4" s="8" t="s">
        <v>15</v>
      </c>
      <c r="D4" s="8" t="s">
        <v>0</v>
      </c>
      <c r="E4" s="8">
        <v>83239.015022369407</v>
      </c>
      <c r="F4" s="8" t="s">
        <v>0</v>
      </c>
      <c r="G4" s="8">
        <v>83812.554355553802</v>
      </c>
      <c r="H4" s="8" t="s">
        <v>0</v>
      </c>
      <c r="I4" s="8">
        <v>84065.837009015595</v>
      </c>
      <c r="J4" s="8" t="s">
        <v>0</v>
      </c>
      <c r="K4" s="8">
        <v>84160.823051812593</v>
      </c>
      <c r="L4" s="8" t="s">
        <v>0</v>
      </c>
      <c r="M4" s="8">
        <v>-175.720409571164</v>
      </c>
      <c r="N4" s="8" t="s">
        <v>0</v>
      </c>
      <c r="O4" s="8">
        <v>83985.102642241429</v>
      </c>
      <c r="P4" s="8" t="s">
        <v>0</v>
      </c>
      <c r="Q4" s="8">
        <v>348.26869625879044</v>
      </c>
      <c r="R4" s="8" t="s">
        <v>0</v>
      </c>
      <c r="S4" s="8" t="s">
        <v>0</v>
      </c>
      <c r="T4" s="8">
        <v>-184.22394799999901</v>
      </c>
      <c r="U4" s="8" t="s">
        <v>0</v>
      </c>
      <c r="V4" s="8">
        <v>85181.164361000003</v>
      </c>
      <c r="W4" s="8" t="s">
        <v>0</v>
      </c>
      <c r="X4" s="8">
        <v>1222.164305701576</v>
      </c>
      <c r="Y4" s="10" t="s">
        <v>0</v>
      </c>
      <c r="Z4" s="10" t="s">
        <v>0</v>
      </c>
      <c r="AB4" s="10" t="s">
        <v>0</v>
      </c>
      <c r="AD4" s="10" t="s">
        <v>0</v>
      </c>
      <c r="AE4" s="10">
        <v>84782</v>
      </c>
      <c r="AF4" s="10" t="s">
        <v>0</v>
      </c>
      <c r="AG4" s="10" t="s">
        <v>16</v>
      </c>
      <c r="AH4" s="10" t="s">
        <v>13</v>
      </c>
    </row>
    <row r="5" spans="1:34">
      <c r="A5" s="8" t="s">
        <v>17</v>
      </c>
      <c r="B5" s="8" t="s">
        <v>0</v>
      </c>
      <c r="C5" s="8"/>
      <c r="D5" s="8" t="s">
        <v>0</v>
      </c>
      <c r="E5" s="8"/>
      <c r="F5" s="8" t="s">
        <v>0</v>
      </c>
      <c r="G5" s="8"/>
      <c r="H5" s="8" t="s">
        <v>0</v>
      </c>
      <c r="I5" s="8"/>
      <c r="J5" s="8" t="s">
        <v>0</v>
      </c>
      <c r="K5" s="8"/>
      <c r="L5" s="8" t="s">
        <v>0</v>
      </c>
      <c r="M5" s="8"/>
      <c r="N5" s="8" t="s">
        <v>0</v>
      </c>
      <c r="O5" s="8"/>
      <c r="P5" s="8" t="s">
        <v>0</v>
      </c>
      <c r="Q5" s="8"/>
      <c r="R5" s="8" t="s">
        <v>0</v>
      </c>
      <c r="S5" s="8" t="s">
        <v>0</v>
      </c>
      <c r="T5" s="8"/>
      <c r="U5" s="8" t="s">
        <v>0</v>
      </c>
      <c r="V5" s="8"/>
      <c r="W5" s="8" t="s">
        <v>0</v>
      </c>
      <c r="X5" s="8"/>
      <c r="Y5" s="10" t="s">
        <v>0</v>
      </c>
      <c r="Z5" s="10" t="s">
        <v>0</v>
      </c>
      <c r="AB5" s="10" t="s">
        <v>0</v>
      </c>
      <c r="AD5" s="10" t="s">
        <v>0</v>
      </c>
      <c r="AF5" s="10" t="s">
        <v>0</v>
      </c>
      <c r="AH5" s="10" t="s">
        <v>13</v>
      </c>
    </row>
    <row r="6" spans="1:34">
      <c r="A6" s="8" t="s">
        <v>18</v>
      </c>
      <c r="B6" s="8" t="s">
        <v>0</v>
      </c>
      <c r="C6" s="8" t="s">
        <v>19</v>
      </c>
      <c r="D6" s="8" t="s">
        <v>0</v>
      </c>
      <c r="E6" s="8">
        <v>37515.609096</v>
      </c>
      <c r="F6" s="8" t="s">
        <v>0</v>
      </c>
      <c r="G6" s="8">
        <v>37223.144802000003</v>
      </c>
      <c r="H6" s="8" t="s">
        <v>0</v>
      </c>
      <c r="I6" s="8">
        <v>37453.981778000001</v>
      </c>
      <c r="J6" s="8" t="s">
        <v>0</v>
      </c>
      <c r="K6" s="8">
        <v>37498.427129000003</v>
      </c>
      <c r="L6" s="8" t="s">
        <v>0</v>
      </c>
      <c r="M6" s="8">
        <v>-186.50688100000099</v>
      </c>
      <c r="N6" s="8" t="s">
        <v>0</v>
      </c>
      <c r="O6" s="8">
        <v>37311.920248000002</v>
      </c>
      <c r="P6" s="8" t="s">
        <v>0</v>
      </c>
      <c r="Q6" s="8">
        <v>275.28232700000081</v>
      </c>
      <c r="R6" s="8" t="s">
        <v>0</v>
      </c>
      <c r="S6" s="8" t="s">
        <v>0</v>
      </c>
      <c r="T6" s="8">
        <v>-192.75742997998901</v>
      </c>
      <c r="U6" s="8" t="s">
        <v>0</v>
      </c>
      <c r="V6" s="8">
        <v>37142</v>
      </c>
      <c r="W6" s="8" t="s">
        <v>0</v>
      </c>
      <c r="X6" s="8">
        <v>837.8842570244766</v>
      </c>
      <c r="Y6" s="10" t="s">
        <v>0</v>
      </c>
      <c r="Z6" s="10" t="s">
        <v>0</v>
      </c>
      <c r="AA6" s="10">
        <v>38248</v>
      </c>
      <c r="AB6" s="10" t="s">
        <v>0</v>
      </c>
      <c r="AC6" s="10">
        <v>34780</v>
      </c>
      <c r="AD6" s="10" t="s">
        <v>0</v>
      </c>
      <c r="AE6" s="10">
        <v>37572</v>
      </c>
      <c r="AF6" s="10" t="s">
        <v>0</v>
      </c>
      <c r="AG6" s="10">
        <v>37644.982000000004</v>
      </c>
      <c r="AH6" s="10" t="s">
        <v>13</v>
      </c>
    </row>
    <row r="7" spans="1:34">
      <c r="A7" s="8"/>
      <c r="B7" s="8" t="s">
        <v>0</v>
      </c>
      <c r="C7" s="8" t="s">
        <v>20</v>
      </c>
      <c r="D7" s="8" t="s">
        <v>0</v>
      </c>
      <c r="E7" s="8">
        <v>39235.166316000003</v>
      </c>
      <c r="F7" s="8" t="s">
        <v>0</v>
      </c>
      <c r="G7" s="8">
        <v>39008.663261000002</v>
      </c>
      <c r="H7" s="8" t="s">
        <v>0</v>
      </c>
      <c r="I7" s="8">
        <v>39248.627116000003</v>
      </c>
      <c r="J7" s="8" t="s">
        <v>0</v>
      </c>
      <c r="K7" s="8">
        <v>39298.024185000002</v>
      </c>
      <c r="L7" s="8" t="s">
        <v>0</v>
      </c>
      <c r="M7" s="8">
        <v>-184.316651000001</v>
      </c>
      <c r="N7" s="8" t="s">
        <v>0</v>
      </c>
      <c r="O7" s="8">
        <v>39113.707534000001</v>
      </c>
      <c r="P7" s="8" t="s">
        <v>0</v>
      </c>
      <c r="Q7" s="8">
        <v>289.36092400000052</v>
      </c>
      <c r="R7" s="8" t="s">
        <v>0</v>
      </c>
      <c r="S7" s="8" t="s">
        <v>0</v>
      </c>
      <c r="T7" s="8">
        <v>-191.32207001998901</v>
      </c>
      <c r="U7" s="8" t="s">
        <v>0</v>
      </c>
      <c r="V7" s="8">
        <v>39389</v>
      </c>
      <c r="W7" s="8" t="s">
        <v>0</v>
      </c>
      <c r="X7" s="8">
        <v>843.56054015453026</v>
      </c>
      <c r="Y7" s="10" t="s">
        <v>0</v>
      </c>
      <c r="Z7" s="10" t="s">
        <v>0</v>
      </c>
      <c r="AA7" s="10">
        <v>38441</v>
      </c>
      <c r="AB7" s="10" t="s">
        <v>0</v>
      </c>
      <c r="AC7" s="10">
        <v>39338</v>
      </c>
      <c r="AD7" s="10" t="s">
        <v>0</v>
      </c>
      <c r="AE7" s="10">
        <v>39124</v>
      </c>
      <c r="AF7" s="10" t="s">
        <v>0</v>
      </c>
      <c r="AG7" s="10">
        <v>39412.237000000001</v>
      </c>
      <c r="AH7" s="10" t="s">
        <v>13</v>
      </c>
    </row>
    <row r="8" spans="1:34">
      <c r="A8" s="8"/>
      <c r="B8" s="8" t="s">
        <v>0</v>
      </c>
      <c r="C8" s="8" t="s">
        <v>21</v>
      </c>
      <c r="D8" s="8" t="s">
        <v>0</v>
      </c>
      <c r="E8" s="8">
        <v>43458.289706000003</v>
      </c>
      <c r="F8" s="8" t="s">
        <v>0</v>
      </c>
      <c r="G8" s="8">
        <v>43492.018715999999</v>
      </c>
      <c r="H8" s="8" t="s">
        <v>0</v>
      </c>
      <c r="I8" s="8">
        <v>43776.568532999998</v>
      </c>
      <c r="J8" s="8" t="s">
        <v>0</v>
      </c>
      <c r="K8" s="8">
        <v>43843.070102999998</v>
      </c>
      <c r="L8" s="8" t="s">
        <v>0</v>
      </c>
      <c r="M8" s="8">
        <v>-174.520716999999</v>
      </c>
      <c r="N8" s="8" t="s">
        <v>0</v>
      </c>
      <c r="O8" s="8">
        <v>43668.549385999999</v>
      </c>
      <c r="P8" s="8" t="s">
        <v>0</v>
      </c>
      <c r="Q8" s="8">
        <v>351.05138699999952</v>
      </c>
      <c r="R8" s="8" t="s">
        <v>0</v>
      </c>
      <c r="S8" s="8" t="s">
        <v>0</v>
      </c>
      <c r="T8" s="8">
        <v>-185.18557698001001</v>
      </c>
      <c r="U8" s="8" t="s">
        <v>0</v>
      </c>
      <c r="V8" s="8">
        <v>43874</v>
      </c>
      <c r="W8" s="8" t="s">
        <v>0</v>
      </c>
      <c r="X8" s="8">
        <v>824.39673130888843</v>
      </c>
      <c r="Y8" s="10" t="s">
        <v>0</v>
      </c>
      <c r="Z8" s="10" t="s">
        <v>0</v>
      </c>
      <c r="AA8" s="10">
        <v>49363</v>
      </c>
      <c r="AB8" s="10" t="s">
        <v>0</v>
      </c>
      <c r="AC8" s="10">
        <v>44287</v>
      </c>
      <c r="AD8" s="10" t="s">
        <v>0</v>
      </c>
      <c r="AE8" s="10">
        <v>43623</v>
      </c>
      <c r="AF8" s="10" t="s">
        <v>0</v>
      </c>
      <c r="AG8" s="10">
        <v>44042.909</v>
      </c>
      <c r="AH8" s="10" t="s">
        <v>13</v>
      </c>
    </row>
    <row r="9" spans="1:34">
      <c r="A9" s="8"/>
      <c r="B9" s="8" t="s">
        <v>0</v>
      </c>
      <c r="C9" s="8" t="s">
        <v>22</v>
      </c>
      <c r="D9" s="8" t="s">
        <v>0</v>
      </c>
      <c r="E9" s="8">
        <v>54541.290957999998</v>
      </c>
      <c r="F9" s="8" t="s">
        <v>0</v>
      </c>
      <c r="G9" s="8">
        <v>54444.765422999997</v>
      </c>
      <c r="H9" s="8" t="s">
        <v>0</v>
      </c>
      <c r="I9" s="8">
        <v>54712.372439999999</v>
      </c>
      <c r="J9" s="8" t="s">
        <v>0</v>
      </c>
      <c r="K9" s="8">
        <v>54779.127758000002</v>
      </c>
      <c r="L9" s="8" t="s">
        <v>0</v>
      </c>
      <c r="M9" s="8">
        <v>-164.373338999998</v>
      </c>
      <c r="N9" s="8" t="s">
        <v>0</v>
      </c>
      <c r="O9" s="8">
        <v>54614.754419000004</v>
      </c>
      <c r="P9" s="8" t="s">
        <v>0</v>
      </c>
      <c r="Q9" s="8">
        <v>334.36233500000526</v>
      </c>
      <c r="R9" s="8" t="s">
        <v>0</v>
      </c>
      <c r="S9" s="8" t="s">
        <v>0</v>
      </c>
      <c r="T9" s="8">
        <v>-173.57540238002599</v>
      </c>
      <c r="U9" s="8" t="s">
        <v>0</v>
      </c>
      <c r="V9" s="8">
        <v>56284</v>
      </c>
      <c r="W9" s="8" t="s">
        <v>0</v>
      </c>
      <c r="X9" s="8">
        <v>1016.7036550557369</v>
      </c>
      <c r="Y9" s="10" t="s">
        <v>0</v>
      </c>
      <c r="Z9" s="10" t="s">
        <v>0</v>
      </c>
      <c r="AA9" s="10">
        <v>57402</v>
      </c>
      <c r="AB9" s="10" t="s">
        <v>0</v>
      </c>
      <c r="AC9" s="10">
        <v>54263</v>
      </c>
      <c r="AD9" s="10" t="s">
        <v>0</v>
      </c>
      <c r="AE9" s="10">
        <v>52658</v>
      </c>
      <c r="AF9" s="10" t="s">
        <v>0</v>
      </c>
      <c r="AG9" s="10">
        <v>54068.6829</v>
      </c>
      <c r="AH9" s="10" t="s">
        <v>13</v>
      </c>
    </row>
    <row r="10" spans="1:34">
      <c r="A10" s="8" t="s">
        <v>23</v>
      </c>
      <c r="B10" s="8" t="s">
        <v>0</v>
      </c>
      <c r="C10" s="8" t="s">
        <v>24</v>
      </c>
      <c r="D10" s="8" t="s">
        <v>0</v>
      </c>
      <c r="E10" s="8">
        <v>61463.648429000001</v>
      </c>
      <c r="F10" s="8" t="s">
        <v>0</v>
      </c>
      <c r="G10" s="8">
        <v>61886.486355000001</v>
      </c>
      <c r="H10" s="8" t="s">
        <v>0</v>
      </c>
      <c r="I10" s="8">
        <v>62217.310424000003</v>
      </c>
      <c r="J10" s="8" t="s">
        <v>0</v>
      </c>
      <c r="K10" s="8">
        <v>62282.822662999999</v>
      </c>
      <c r="L10" s="8" t="s">
        <v>0</v>
      </c>
      <c r="M10" s="8">
        <v>-157.66905599999899</v>
      </c>
      <c r="N10" s="8" t="s">
        <v>0</v>
      </c>
      <c r="O10" s="8">
        <v>62125.153607</v>
      </c>
      <c r="P10" s="8" t="s">
        <v>0</v>
      </c>
      <c r="Q10" s="8">
        <v>396.3363079999981</v>
      </c>
      <c r="R10" s="8" t="s">
        <v>0</v>
      </c>
      <c r="S10" s="8" t="s">
        <v>0</v>
      </c>
      <c r="T10" s="8">
        <v>-171.95348952002001</v>
      </c>
      <c r="U10" s="8" t="s">
        <v>0</v>
      </c>
      <c r="V10" s="8"/>
      <c r="W10" s="8" t="s">
        <v>0</v>
      </c>
      <c r="X10" s="8">
        <v>833.30165970456346</v>
      </c>
      <c r="Y10" s="10" t="s">
        <v>0</v>
      </c>
      <c r="Z10" s="10" t="s">
        <v>0</v>
      </c>
      <c r="AB10" s="10" t="s">
        <v>0</v>
      </c>
      <c r="AC10" s="10">
        <v>62181</v>
      </c>
      <c r="AD10" s="10" t="s">
        <v>0</v>
      </c>
      <c r="AF10" s="10" t="s">
        <v>0</v>
      </c>
      <c r="AG10" s="10">
        <v>62350.324999999997</v>
      </c>
      <c r="AH10" s="10" t="s">
        <v>13</v>
      </c>
    </row>
    <row r="11" spans="1:34">
      <c r="A11" s="8"/>
      <c r="B11" s="8" t="s">
        <v>0</v>
      </c>
      <c r="C11" s="8" t="s">
        <v>15</v>
      </c>
      <c r="D11" s="8" t="s">
        <v>0</v>
      </c>
      <c r="E11" s="8">
        <v>63358.043983000003</v>
      </c>
      <c r="F11" s="8" t="s">
        <v>0</v>
      </c>
      <c r="G11" s="8">
        <v>63812.144030000003</v>
      </c>
      <c r="H11" s="8" t="s">
        <v>0</v>
      </c>
      <c r="I11" s="8">
        <v>64152.139872</v>
      </c>
      <c r="J11" s="8" t="s">
        <v>0</v>
      </c>
      <c r="K11" s="8">
        <v>64220.019349000002</v>
      </c>
      <c r="L11" s="8" t="s">
        <v>0</v>
      </c>
      <c r="M11" s="8">
        <v>-155.535920999995</v>
      </c>
      <c r="N11" s="8" t="s">
        <v>0</v>
      </c>
      <c r="O11" s="8">
        <v>64064.483428000007</v>
      </c>
      <c r="P11" s="8" t="s">
        <v>0</v>
      </c>
      <c r="Q11" s="8">
        <v>407.87531899999885</v>
      </c>
      <c r="R11" s="8" t="s">
        <v>0</v>
      </c>
      <c r="S11" s="8" t="s">
        <v>0</v>
      </c>
      <c r="T11" s="8">
        <v>-171.89203679999599</v>
      </c>
      <c r="U11" s="8" t="s">
        <v>0</v>
      </c>
      <c r="V11" s="8"/>
      <c r="W11" s="8" t="s">
        <v>0</v>
      </c>
      <c r="X11" s="8">
        <v>868.96275953420798</v>
      </c>
      <c r="Y11" s="10" t="s">
        <v>0</v>
      </c>
      <c r="Z11" s="10" t="s">
        <v>0</v>
      </c>
      <c r="AB11" s="10" t="s">
        <v>0</v>
      </c>
      <c r="AC11" s="10">
        <v>63681</v>
      </c>
      <c r="AD11" s="10" t="s">
        <v>0</v>
      </c>
      <c r="AF11" s="10" t="s">
        <v>0</v>
      </c>
      <c r="AG11" s="10">
        <v>63928.12</v>
      </c>
      <c r="AH11" s="10" t="s">
        <v>13</v>
      </c>
    </row>
    <row r="12" spans="1:34">
      <c r="A12" s="8" t="s">
        <v>25</v>
      </c>
      <c r="B12" s="8" t="s">
        <v>0</v>
      </c>
      <c r="C12" s="8" t="s">
        <v>21</v>
      </c>
      <c r="D12" s="8" t="s">
        <v>0</v>
      </c>
      <c r="E12" s="8">
        <v>67445.650559000002</v>
      </c>
      <c r="F12" s="8" t="s">
        <v>0</v>
      </c>
      <c r="G12" s="8">
        <v>67581.808246999994</v>
      </c>
      <c r="H12" s="8" t="s">
        <v>0</v>
      </c>
      <c r="I12" s="8">
        <v>68301.725978000002</v>
      </c>
      <c r="J12" s="8" t="s">
        <v>0</v>
      </c>
      <c r="K12" s="8">
        <v>68444.474080999993</v>
      </c>
      <c r="L12" s="8" t="s">
        <v>0</v>
      </c>
      <c r="M12" s="8">
        <v>34.998420000003499</v>
      </c>
      <c r="N12" s="8" t="s">
        <v>0</v>
      </c>
      <c r="O12" s="8">
        <v>68479.472500999997</v>
      </c>
      <c r="P12" s="8" t="s">
        <v>0</v>
      </c>
      <c r="Q12" s="8">
        <v>862.66583399999945</v>
      </c>
      <c r="R12" s="8" t="s">
        <v>0</v>
      </c>
      <c r="S12" s="8" t="s">
        <v>0</v>
      </c>
      <c r="T12" s="8">
        <v>-37.681491059978697</v>
      </c>
      <c r="U12" s="8" t="s">
        <v>0</v>
      </c>
      <c r="V12" s="8">
        <v>68123</v>
      </c>
      <c r="W12" s="8" t="s">
        <v>0</v>
      </c>
      <c r="X12" s="8">
        <v>2037.186404349879</v>
      </c>
      <c r="Y12" s="10" t="s">
        <v>0</v>
      </c>
      <c r="Z12" s="10" t="s">
        <v>0</v>
      </c>
      <c r="AA12" s="10">
        <v>70139</v>
      </c>
      <c r="AB12" s="10" t="s">
        <v>0</v>
      </c>
      <c r="AC12" s="10">
        <v>70287</v>
      </c>
      <c r="AD12" s="10" t="s">
        <v>0</v>
      </c>
      <c r="AF12" s="10" t="s">
        <v>0</v>
      </c>
      <c r="AG12" s="10">
        <v>68886.429999999993</v>
      </c>
      <c r="AH12" s="10" t="s">
        <v>13</v>
      </c>
    </row>
    <row r="13" spans="1:34">
      <c r="A13" s="8" t="s">
        <v>26</v>
      </c>
      <c r="B13" s="8" t="s">
        <v>0</v>
      </c>
      <c r="C13" s="8" t="s">
        <v>19</v>
      </c>
      <c r="D13" s="8" t="s">
        <v>0</v>
      </c>
      <c r="E13" s="8">
        <v>68944.071947000004</v>
      </c>
      <c r="F13" s="8" t="s">
        <v>0</v>
      </c>
      <c r="G13" s="8">
        <v>69660.031812000001</v>
      </c>
      <c r="H13" s="8" t="s">
        <v>0</v>
      </c>
      <c r="I13" s="8">
        <v>69740.508218999996</v>
      </c>
      <c r="J13" s="8" t="s">
        <v>0</v>
      </c>
      <c r="K13" s="8">
        <v>69804.472330999997</v>
      </c>
      <c r="L13" s="8" t="s">
        <v>0</v>
      </c>
      <c r="M13" s="8">
        <v>-172.185203999994</v>
      </c>
      <c r="N13" s="8" t="s">
        <v>0</v>
      </c>
      <c r="O13" s="8">
        <v>69632.287127000003</v>
      </c>
      <c r="P13" s="8" t="s">
        <v>0</v>
      </c>
      <c r="Q13" s="8">
        <v>144.44051899999613</v>
      </c>
      <c r="R13" s="8" t="s">
        <v>0</v>
      </c>
      <c r="S13" s="8" t="s">
        <v>0</v>
      </c>
      <c r="T13" s="8">
        <v>-188.100191699996</v>
      </c>
      <c r="U13" s="8" t="s">
        <v>0</v>
      </c>
      <c r="V13" s="8"/>
      <c r="W13" s="8" t="s">
        <v>0</v>
      </c>
      <c r="X13" s="8">
        <v>830.15825639805769</v>
      </c>
      <c r="Y13" s="10" t="s">
        <v>0</v>
      </c>
      <c r="Z13" s="10" t="s">
        <v>0</v>
      </c>
      <c r="AB13" s="10" t="s">
        <v>0</v>
      </c>
      <c r="AC13" s="10">
        <v>69223</v>
      </c>
      <c r="AD13" s="10" t="s">
        <v>0</v>
      </c>
      <c r="AF13" s="10" t="s">
        <v>0</v>
      </c>
      <c r="AG13" s="10">
        <v>69516.576000000001</v>
      </c>
      <c r="AH13" s="10" t="s">
        <v>13</v>
      </c>
    </row>
    <row r="14" spans="1:34">
      <c r="A14" s="8"/>
      <c r="B14" s="8" t="s">
        <v>0</v>
      </c>
      <c r="C14" s="8" t="s">
        <v>20</v>
      </c>
      <c r="D14" s="8" t="s">
        <v>0</v>
      </c>
      <c r="E14" s="8">
        <v>69059.023912000004</v>
      </c>
      <c r="F14" s="8" t="s">
        <v>0</v>
      </c>
      <c r="G14" s="8">
        <v>69784.564675999995</v>
      </c>
      <c r="H14" s="8" t="s">
        <v>0</v>
      </c>
      <c r="I14" s="8">
        <v>69883.320395999996</v>
      </c>
      <c r="J14" s="8" t="s">
        <v>0</v>
      </c>
      <c r="K14" s="8">
        <v>69948.135756999996</v>
      </c>
      <c r="L14" s="8" t="s">
        <v>0</v>
      </c>
      <c r="M14" s="8">
        <v>-170.278361999997</v>
      </c>
      <c r="N14" s="8" t="s">
        <v>0</v>
      </c>
      <c r="O14" s="8">
        <v>69777.857394999999</v>
      </c>
      <c r="P14" s="8" t="s">
        <v>0</v>
      </c>
      <c r="Q14" s="8">
        <v>163.57108100000187</v>
      </c>
      <c r="R14" s="8" t="s">
        <v>0</v>
      </c>
      <c r="S14" s="8" t="s">
        <v>0</v>
      </c>
      <c r="T14" s="8">
        <v>-187.16742719999499</v>
      </c>
      <c r="U14" s="8" t="s">
        <v>0</v>
      </c>
      <c r="V14" s="8"/>
      <c r="W14" s="8" t="s">
        <v>0</v>
      </c>
      <c r="X14" s="8">
        <v>831.08365811800718</v>
      </c>
      <c r="Y14" s="10" t="s">
        <v>0</v>
      </c>
      <c r="Z14" s="10" t="s">
        <v>0</v>
      </c>
      <c r="AB14" s="10" t="s">
        <v>0</v>
      </c>
      <c r="AC14" s="10">
        <v>69397</v>
      </c>
      <c r="AD14" s="10" t="s">
        <v>0</v>
      </c>
      <c r="AF14" s="10" t="s">
        <v>0</v>
      </c>
      <c r="AG14" s="10">
        <v>69661.803</v>
      </c>
      <c r="AH14" s="10" t="s">
        <v>13</v>
      </c>
    </row>
    <row r="15" spans="1:34">
      <c r="A15" s="8" t="s">
        <v>25</v>
      </c>
      <c r="B15" s="8" t="s">
        <v>0</v>
      </c>
      <c r="C15" s="8" t="s">
        <v>27</v>
      </c>
      <c r="D15" s="8" t="s">
        <v>0</v>
      </c>
      <c r="E15" s="8">
        <v>69542.309101000006</v>
      </c>
      <c r="F15" s="8" t="s">
        <v>0</v>
      </c>
      <c r="G15" s="8">
        <v>69425.348282999999</v>
      </c>
      <c r="H15" s="8" t="s">
        <v>0</v>
      </c>
      <c r="I15" s="8">
        <v>70266.194195999997</v>
      </c>
      <c r="J15" s="8" t="s">
        <v>0</v>
      </c>
      <c r="K15" s="8">
        <v>70421.725978999995</v>
      </c>
      <c r="L15" s="8" t="s">
        <v>0</v>
      </c>
      <c r="M15" s="8">
        <v>100.309882999994</v>
      </c>
      <c r="N15" s="8" t="s">
        <v>0</v>
      </c>
      <c r="O15" s="8">
        <v>70522.03586199999</v>
      </c>
      <c r="P15" s="8" t="s">
        <v>0</v>
      </c>
      <c r="Q15" s="8">
        <v>996.37769599999592</v>
      </c>
      <c r="R15" s="8" t="s">
        <v>0</v>
      </c>
      <c r="S15" s="8" t="s">
        <v>0</v>
      </c>
      <c r="T15" s="8">
        <v>84.690627120013303</v>
      </c>
      <c r="U15" s="8" t="s">
        <v>0</v>
      </c>
      <c r="V15" s="8">
        <v>69503</v>
      </c>
      <c r="W15" s="8" t="s">
        <v>0</v>
      </c>
      <c r="X15" s="8">
        <v>2547.9813849053958</v>
      </c>
      <c r="Y15" s="10" t="s">
        <v>0</v>
      </c>
      <c r="Z15" s="10" t="s">
        <v>0</v>
      </c>
      <c r="AB15" s="10" t="s">
        <v>0</v>
      </c>
      <c r="AC15" s="10">
        <v>71825</v>
      </c>
      <c r="AD15" s="10" t="s">
        <v>0</v>
      </c>
      <c r="AF15" s="10" t="s">
        <v>0</v>
      </c>
      <c r="AG15" s="10">
        <v>70932.2</v>
      </c>
      <c r="AH15" s="10" t="s">
        <v>28</v>
      </c>
    </row>
    <row r="18" spans="9:11">
      <c r="I18" s="8"/>
      <c r="K18" s="8"/>
    </row>
  </sheetData>
  <mergeCells count="4">
    <mergeCell ref="E1:Q1"/>
    <mergeCell ref="T1:X1"/>
    <mergeCell ref="AA1:AG1"/>
    <mergeCell ref="A2:C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A228-FFC9-4425-ADB4-3666C472743A}">
  <dimension ref="A1:AH20"/>
  <sheetViews>
    <sheetView topLeftCell="T1" zoomScale="120" zoomScaleNormal="120" workbookViewId="0">
      <selection activeCell="X2" sqref="X2"/>
    </sheetView>
  </sheetViews>
  <sheetFormatPr baseColWidth="10" defaultColWidth="9" defaultRowHeight="15"/>
  <cols>
    <col min="1" max="1" width="15.33203125" style="11" bestFit="1" customWidth="1"/>
    <col min="2" max="2" width="3.33203125" style="11" bestFit="1" customWidth="1"/>
    <col min="3" max="3" width="9.33203125" style="11" bestFit="1" customWidth="1"/>
    <col min="4" max="4" width="3.33203125" style="11" bestFit="1" customWidth="1"/>
    <col min="5" max="5" width="11.83203125" style="11" bestFit="1" customWidth="1"/>
    <col min="6" max="6" width="3.33203125" style="11" bestFit="1" customWidth="1"/>
    <col min="7" max="7" width="11.83203125" style="11" bestFit="1" customWidth="1"/>
    <col min="8" max="8" width="3.33203125" style="11" bestFit="1" customWidth="1"/>
    <col min="9" max="9" width="11.83203125" style="11" bestFit="1" customWidth="1"/>
    <col min="10" max="10" width="3.33203125" style="11" bestFit="1" customWidth="1"/>
    <col min="11" max="11" width="12.1640625" style="11" bestFit="1" customWidth="1"/>
    <col min="12" max="12" width="3.33203125" style="11" bestFit="1" customWidth="1"/>
    <col min="13" max="13" width="18.1640625" style="11" bestFit="1" customWidth="1"/>
    <col min="14" max="14" width="3.33203125" style="11" bestFit="1" customWidth="1"/>
    <col min="15" max="15" width="7.5" style="11" bestFit="1" customWidth="1"/>
    <col min="16" max="16" width="3.33203125" style="11" bestFit="1" customWidth="1"/>
    <col min="17" max="17" width="17" style="11" bestFit="1" customWidth="1"/>
    <col min="18" max="19" width="3.33203125" style="11" bestFit="1" customWidth="1"/>
    <col min="20" max="20" width="18.1640625" style="11" bestFit="1" customWidth="1"/>
    <col min="21" max="21" width="3.33203125" style="11" bestFit="1" customWidth="1"/>
    <col min="22" max="22" width="8.5" style="11" bestFit="1" customWidth="1"/>
    <col min="23" max="23" width="3.33203125" style="11" bestFit="1" customWidth="1"/>
    <col min="24" max="24" width="17" style="11" bestFit="1" customWidth="1"/>
    <col min="25" max="26" width="3.33203125" style="11" bestFit="1" customWidth="1"/>
    <col min="27" max="27" width="21.5" style="11" bestFit="1" customWidth="1"/>
    <col min="28" max="28" width="3.33203125" style="11" bestFit="1" customWidth="1"/>
    <col min="29" max="29" width="7.5" style="11" bestFit="1" customWidth="1"/>
    <col min="30" max="30" width="3.33203125" style="11" bestFit="1" customWidth="1"/>
    <col min="31" max="31" width="7.5" style="11" bestFit="1" customWidth="1"/>
    <col min="32" max="32" width="3.33203125" style="11" bestFit="1" customWidth="1"/>
    <col min="33" max="33" width="12.1640625" style="11" bestFit="1" customWidth="1"/>
    <col min="34" max="34" width="55.33203125" style="11" bestFit="1" customWidth="1"/>
    <col min="35" max="16384" width="9" style="11"/>
  </cols>
  <sheetData>
    <row r="1" spans="1:34">
      <c r="A1" s="13"/>
      <c r="B1" s="13" t="s">
        <v>0</v>
      </c>
      <c r="C1" s="13"/>
      <c r="D1" s="11" t="s">
        <v>0</v>
      </c>
      <c r="E1" s="16" t="s">
        <v>1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1" t="s">
        <v>0</v>
      </c>
      <c r="S1" s="11" t="s">
        <v>0</v>
      </c>
      <c r="T1" s="16" t="s">
        <v>2</v>
      </c>
      <c r="U1" s="16"/>
      <c r="V1" s="16"/>
      <c r="W1" s="16"/>
      <c r="X1" s="16"/>
      <c r="Y1" s="11" t="s">
        <v>0</v>
      </c>
      <c r="Z1" s="11" t="s">
        <v>0</v>
      </c>
      <c r="AA1" s="11" t="s">
        <v>3</v>
      </c>
      <c r="AH1" s="11" t="s">
        <v>29</v>
      </c>
    </row>
    <row r="2" spans="1:34">
      <c r="A2" s="17" t="s">
        <v>139</v>
      </c>
      <c r="B2" s="17"/>
      <c r="C2" s="17"/>
      <c r="D2" s="11" t="s">
        <v>0</v>
      </c>
      <c r="E2" s="11" t="s">
        <v>5</v>
      </c>
      <c r="F2" s="11" t="s">
        <v>0</v>
      </c>
      <c r="G2" s="11" t="s">
        <v>6</v>
      </c>
      <c r="H2" s="11" t="s">
        <v>0</v>
      </c>
      <c r="I2" s="11" t="s">
        <v>7</v>
      </c>
      <c r="J2" s="11" t="s">
        <v>0</v>
      </c>
      <c r="K2" s="11" t="s">
        <v>8</v>
      </c>
      <c r="L2" s="11" t="s">
        <v>0</v>
      </c>
      <c r="M2" s="11" t="s">
        <v>9</v>
      </c>
      <c r="N2" s="11" t="s">
        <v>0</v>
      </c>
      <c r="O2" s="11" t="s">
        <v>10</v>
      </c>
      <c r="P2" s="11" t="s">
        <v>0</v>
      </c>
      <c r="Q2" s="8" t="s">
        <v>140</v>
      </c>
      <c r="R2" s="11" t="s">
        <v>0</v>
      </c>
      <c r="S2" s="11" t="s">
        <v>0</v>
      </c>
      <c r="T2" s="11" t="s">
        <v>129</v>
      </c>
      <c r="U2" s="11" t="s">
        <v>0</v>
      </c>
      <c r="V2" s="11" t="s">
        <v>10</v>
      </c>
      <c r="W2" s="11" t="s">
        <v>0</v>
      </c>
      <c r="X2" s="8" t="s">
        <v>140</v>
      </c>
      <c r="Y2" s="11" t="s">
        <v>0</v>
      </c>
      <c r="Z2" s="11" t="s">
        <v>0</v>
      </c>
      <c r="AA2" s="11" t="s">
        <v>105</v>
      </c>
      <c r="AB2" s="11" t="s">
        <v>0</v>
      </c>
      <c r="AC2" s="11" t="s">
        <v>106</v>
      </c>
      <c r="AD2" s="11" t="s">
        <v>0</v>
      </c>
      <c r="AE2" s="11" t="s">
        <v>107</v>
      </c>
      <c r="AF2" s="11" t="s">
        <v>0</v>
      </c>
      <c r="AG2" s="11" t="s">
        <v>125</v>
      </c>
      <c r="AH2" s="11" t="s">
        <v>11</v>
      </c>
    </row>
    <row r="3" spans="1:34">
      <c r="A3" s="11" t="s">
        <v>12</v>
      </c>
      <c r="B3" s="11" t="s">
        <v>0</v>
      </c>
      <c r="D3" s="11" t="s">
        <v>0</v>
      </c>
      <c r="F3" s="11" t="s">
        <v>0</v>
      </c>
      <c r="H3" s="11" t="s">
        <v>0</v>
      </c>
      <c r="J3" s="11" t="s">
        <v>0</v>
      </c>
      <c r="L3" s="11" t="s">
        <v>0</v>
      </c>
      <c r="N3" s="11" t="s">
        <v>0</v>
      </c>
      <c r="P3" s="11" t="s">
        <v>0</v>
      </c>
      <c r="R3" s="11" t="s">
        <v>0</v>
      </c>
      <c r="S3" s="11" t="s">
        <v>0</v>
      </c>
      <c r="U3" s="11" t="s">
        <v>0</v>
      </c>
      <c r="W3" s="11" t="s">
        <v>0</v>
      </c>
      <c r="Y3" s="11" t="s">
        <v>0</v>
      </c>
      <c r="Z3" s="11" t="s">
        <v>0</v>
      </c>
      <c r="AB3" s="11" t="s">
        <v>0</v>
      </c>
      <c r="AD3" s="11" t="s">
        <v>0</v>
      </c>
      <c r="AF3" s="11" t="s">
        <v>0</v>
      </c>
      <c r="AH3" s="11" t="s">
        <v>13</v>
      </c>
    </row>
    <row r="4" spans="1:34">
      <c r="A4" s="11" t="s">
        <v>30</v>
      </c>
      <c r="B4" s="11" t="s">
        <v>0</v>
      </c>
      <c r="C4" s="11" t="s">
        <v>15</v>
      </c>
      <c r="D4" s="11" t="s">
        <v>0</v>
      </c>
      <c r="E4" s="11">
        <v>94340.545591214905</v>
      </c>
      <c r="F4" s="11" t="s">
        <v>0</v>
      </c>
      <c r="G4" s="11">
        <v>95500.661320046798</v>
      </c>
      <c r="H4" s="11" t="s">
        <v>0</v>
      </c>
      <c r="I4" s="11">
        <v>96106.683156363797</v>
      </c>
      <c r="J4" s="11" t="s">
        <v>0</v>
      </c>
      <c r="K4" s="11">
        <v>96151</v>
      </c>
      <c r="L4" s="11" t="s">
        <v>0</v>
      </c>
      <c r="M4" s="11">
        <v>131</v>
      </c>
      <c r="N4" s="11" t="s">
        <v>0</v>
      </c>
      <c r="O4" s="11">
        <v>96282</v>
      </c>
      <c r="P4" s="11" t="s">
        <v>0</v>
      </c>
      <c r="Q4" s="11">
        <v>650.33867995320179</v>
      </c>
      <c r="R4" s="11" t="s">
        <v>0</v>
      </c>
      <c r="S4" s="11" t="s">
        <v>0</v>
      </c>
      <c r="T4" s="11">
        <v>-130.12856299997699</v>
      </c>
      <c r="U4" s="11" t="s">
        <v>0</v>
      </c>
      <c r="V4" s="11">
        <v>114134.87143699999</v>
      </c>
      <c r="W4" s="11" t="s">
        <v>0</v>
      </c>
      <c r="X4" s="11">
        <v>2101.5206619492615</v>
      </c>
      <c r="Y4" s="11" t="s">
        <v>0</v>
      </c>
      <c r="Z4" s="11" t="s">
        <v>0</v>
      </c>
      <c r="AB4" s="11" t="s">
        <v>0</v>
      </c>
      <c r="AD4" s="11" t="s">
        <v>0</v>
      </c>
      <c r="AE4" s="11">
        <v>97956</v>
      </c>
      <c r="AF4" s="11" t="s">
        <v>0</v>
      </c>
      <c r="AG4" s="11" t="s">
        <v>108</v>
      </c>
      <c r="AH4" s="11" t="s">
        <v>13</v>
      </c>
    </row>
    <row r="5" spans="1:34">
      <c r="B5" s="11" t="s">
        <v>0</v>
      </c>
      <c r="D5" s="11" t="s">
        <v>0</v>
      </c>
      <c r="F5" s="11" t="s">
        <v>0</v>
      </c>
      <c r="H5" s="11" t="s">
        <v>0</v>
      </c>
      <c r="J5" s="11" t="s">
        <v>0</v>
      </c>
      <c r="L5" s="11" t="s">
        <v>0</v>
      </c>
      <c r="N5" s="11" t="s">
        <v>0</v>
      </c>
      <c r="P5" s="11" t="s">
        <v>0</v>
      </c>
      <c r="R5" s="11" t="s">
        <v>0</v>
      </c>
      <c r="S5" s="11" t="s">
        <v>0</v>
      </c>
      <c r="U5" s="11" t="s">
        <v>0</v>
      </c>
      <c r="W5" s="11" t="s">
        <v>0</v>
      </c>
      <c r="Y5" s="11" t="s">
        <v>0</v>
      </c>
      <c r="Z5" s="11" t="s">
        <v>0</v>
      </c>
      <c r="AB5" s="11" t="s">
        <v>0</v>
      </c>
      <c r="AD5" s="11" t="s">
        <v>0</v>
      </c>
      <c r="AF5" s="11" t="s">
        <v>0</v>
      </c>
      <c r="AG5" s="11" t="s">
        <v>109</v>
      </c>
      <c r="AH5" s="11" t="s">
        <v>13</v>
      </c>
    </row>
    <row r="6" spans="1:34">
      <c r="A6" s="11" t="s">
        <v>17</v>
      </c>
      <c r="B6" s="11" t="s">
        <v>0</v>
      </c>
      <c r="D6" s="11" t="s">
        <v>0</v>
      </c>
      <c r="F6" s="11" t="s">
        <v>0</v>
      </c>
      <c r="H6" s="11" t="s">
        <v>0</v>
      </c>
      <c r="J6" s="11" t="s">
        <v>0</v>
      </c>
      <c r="L6" s="11" t="s">
        <v>0</v>
      </c>
      <c r="N6" s="11" t="s">
        <v>0</v>
      </c>
      <c r="P6" s="11" t="s">
        <v>0</v>
      </c>
      <c r="R6" s="11" t="s">
        <v>0</v>
      </c>
      <c r="S6" s="11" t="s">
        <v>0</v>
      </c>
      <c r="U6" s="11" t="s">
        <v>0</v>
      </c>
      <c r="W6" s="11" t="s">
        <v>0</v>
      </c>
      <c r="Y6" s="11" t="s">
        <v>0</v>
      </c>
      <c r="Z6" s="11" t="s">
        <v>0</v>
      </c>
      <c r="AB6" s="11" t="s">
        <v>0</v>
      </c>
      <c r="AD6" s="11" t="s">
        <v>0</v>
      </c>
      <c r="AF6" s="11" t="s">
        <v>0</v>
      </c>
      <c r="AH6" s="11" t="s">
        <v>13</v>
      </c>
    </row>
    <row r="7" spans="1:34">
      <c r="A7" s="11" t="s">
        <v>31</v>
      </c>
      <c r="B7" s="11" t="s">
        <v>0</v>
      </c>
      <c r="C7" s="11" t="s">
        <v>21</v>
      </c>
      <c r="D7" s="11" t="s">
        <v>0</v>
      </c>
      <c r="E7" s="11">
        <v>34530.062618000004</v>
      </c>
      <c r="F7" s="11" t="s">
        <v>0</v>
      </c>
      <c r="G7" s="11">
        <v>35010.951680999999</v>
      </c>
      <c r="H7" s="11" t="s">
        <v>0</v>
      </c>
      <c r="I7" s="11">
        <v>35590.261426999998</v>
      </c>
      <c r="J7" s="11" t="s">
        <v>0</v>
      </c>
      <c r="K7" s="11">
        <v>35584.167615999999</v>
      </c>
      <c r="L7" s="11" t="s">
        <v>0</v>
      </c>
      <c r="M7" s="11">
        <v>136.74590100000199</v>
      </c>
      <c r="N7" s="11" t="s">
        <v>0</v>
      </c>
      <c r="O7" s="11">
        <v>35720.913517000001</v>
      </c>
      <c r="P7" s="11" t="s">
        <v>0</v>
      </c>
      <c r="Q7" s="11">
        <v>579.309745999999</v>
      </c>
      <c r="R7" s="11" t="s">
        <v>0</v>
      </c>
      <c r="S7" s="11" t="s">
        <v>0</v>
      </c>
      <c r="T7" s="11">
        <v>141.18762420002901</v>
      </c>
      <c r="U7" s="11" t="s">
        <v>0</v>
      </c>
      <c r="V7" s="11">
        <v>34481.889354200001</v>
      </c>
      <c r="W7" s="11" t="s">
        <v>0</v>
      </c>
      <c r="X7" s="11">
        <v>1027.2968256390227</v>
      </c>
      <c r="Y7" s="11" t="s">
        <v>0</v>
      </c>
      <c r="Z7" s="11" t="s">
        <v>0</v>
      </c>
      <c r="AA7" s="11">
        <v>34150</v>
      </c>
      <c r="AB7" s="11" t="s">
        <v>0</v>
      </c>
      <c r="AC7" s="11">
        <v>35785</v>
      </c>
      <c r="AD7" s="11" t="s">
        <v>0</v>
      </c>
      <c r="AE7" s="11">
        <v>31263</v>
      </c>
      <c r="AF7" s="11" t="s">
        <v>0</v>
      </c>
      <c r="AH7" s="11" t="s">
        <v>13</v>
      </c>
    </row>
    <row r="8" spans="1:34">
      <c r="B8" s="11" t="s">
        <v>0</v>
      </c>
      <c r="C8" s="11" t="s">
        <v>32</v>
      </c>
      <c r="D8" s="11" t="s">
        <v>0</v>
      </c>
      <c r="E8" s="11">
        <v>37682.006942</v>
      </c>
      <c r="F8" s="11" t="s">
        <v>0</v>
      </c>
      <c r="G8" s="11">
        <v>38085.801127999999</v>
      </c>
      <c r="H8" s="11" t="s">
        <v>0</v>
      </c>
      <c r="I8" s="11">
        <v>38568.531546999999</v>
      </c>
      <c r="J8" s="11" t="s">
        <v>0</v>
      </c>
      <c r="K8" s="11">
        <v>38540.034292999997</v>
      </c>
      <c r="L8" s="11" t="s">
        <v>0</v>
      </c>
      <c r="M8" s="11">
        <v>139.933510000003</v>
      </c>
      <c r="N8" s="11" t="s">
        <v>0</v>
      </c>
      <c r="O8" s="11">
        <v>38679.967803</v>
      </c>
      <c r="P8" s="11" t="s">
        <v>0</v>
      </c>
      <c r="Q8" s="11">
        <v>482.73041899999953</v>
      </c>
      <c r="R8" s="11" t="s">
        <v>0</v>
      </c>
      <c r="S8" s="11" t="s">
        <v>0</v>
      </c>
      <c r="T8" s="11">
        <v>144.12857580003799</v>
      </c>
      <c r="U8" s="11" t="s">
        <v>0</v>
      </c>
      <c r="V8" s="11">
        <v>37502.400275799999</v>
      </c>
      <c r="W8" s="11" t="s">
        <v>0</v>
      </c>
      <c r="X8" s="11">
        <v>1000.2756539521587</v>
      </c>
      <c r="Y8" s="11" t="s">
        <v>0</v>
      </c>
      <c r="Z8" s="11" t="s">
        <v>0</v>
      </c>
      <c r="AA8" s="11">
        <v>37642</v>
      </c>
      <c r="AB8" s="11" t="s">
        <v>0</v>
      </c>
      <c r="AC8" s="11">
        <v>38652</v>
      </c>
      <c r="AD8" s="11" t="s">
        <v>0</v>
      </c>
      <c r="AE8" s="11">
        <v>33857</v>
      </c>
      <c r="AF8" s="11" t="s">
        <v>0</v>
      </c>
      <c r="AH8" s="11" t="s">
        <v>13</v>
      </c>
    </row>
    <row r="9" spans="1:34">
      <c r="A9" s="11" t="s">
        <v>33</v>
      </c>
      <c r="B9" s="11" t="s">
        <v>0</v>
      </c>
      <c r="C9" s="11" t="s">
        <v>19</v>
      </c>
      <c r="D9" s="11" t="s">
        <v>0</v>
      </c>
      <c r="E9" s="11">
        <v>50005.701722999998</v>
      </c>
      <c r="F9" s="11" t="s">
        <v>0</v>
      </c>
      <c r="G9" s="11">
        <v>49853.201234</v>
      </c>
      <c r="H9" s="11" t="s">
        <v>0</v>
      </c>
      <c r="I9" s="11">
        <v>50171.987606000002</v>
      </c>
      <c r="J9" s="11" t="s">
        <v>0</v>
      </c>
      <c r="K9" s="11">
        <v>50195.651316000003</v>
      </c>
      <c r="L9" s="11" t="s">
        <v>0</v>
      </c>
      <c r="M9" s="11">
        <v>-360.27770400000003</v>
      </c>
      <c r="N9" s="11" t="s">
        <v>0</v>
      </c>
      <c r="O9" s="11">
        <v>49835.373612000003</v>
      </c>
      <c r="P9" s="11" t="s">
        <v>0</v>
      </c>
      <c r="Q9" s="11">
        <v>318.7863720000023</v>
      </c>
      <c r="R9" s="11" t="s">
        <v>0</v>
      </c>
      <c r="S9" s="11" t="s">
        <v>0</v>
      </c>
      <c r="T9" s="11">
        <v>-385.63776540001697</v>
      </c>
      <c r="U9" s="11" t="s">
        <v>0</v>
      </c>
      <c r="V9" s="11">
        <v>52036.605034599997</v>
      </c>
      <c r="W9" s="11" t="s">
        <v>0</v>
      </c>
      <c r="X9" s="11">
        <v>1820.9157060006089</v>
      </c>
      <c r="Y9" s="11" t="s">
        <v>0</v>
      </c>
      <c r="Z9" s="11" t="s">
        <v>0</v>
      </c>
      <c r="AA9" s="11">
        <v>48471</v>
      </c>
      <c r="AB9" s="11" t="s">
        <v>0</v>
      </c>
      <c r="AC9" s="11">
        <v>51153</v>
      </c>
      <c r="AD9" s="11" t="s">
        <v>0</v>
      </c>
      <c r="AE9" s="11">
        <v>45097</v>
      </c>
      <c r="AF9" s="11" t="s">
        <v>0</v>
      </c>
      <c r="AH9" s="11" t="s">
        <v>13</v>
      </c>
    </row>
    <row r="10" spans="1:34">
      <c r="B10" s="11" t="s">
        <v>0</v>
      </c>
      <c r="C10" s="11" t="s">
        <v>20</v>
      </c>
      <c r="D10" s="11" t="s">
        <v>0</v>
      </c>
      <c r="E10" s="11">
        <v>51960.500275999999</v>
      </c>
      <c r="F10" s="11" t="s">
        <v>0</v>
      </c>
      <c r="G10" s="11">
        <v>52011.732556000003</v>
      </c>
      <c r="H10" s="11" t="s">
        <v>0</v>
      </c>
      <c r="I10" s="11">
        <v>52415.352016999997</v>
      </c>
      <c r="J10" s="11" t="s">
        <v>0</v>
      </c>
      <c r="K10" s="11">
        <v>52441.339411000001</v>
      </c>
      <c r="L10" s="11" t="s">
        <v>0</v>
      </c>
      <c r="M10" s="11">
        <v>-243.50637000000299</v>
      </c>
      <c r="N10" s="11" t="s">
        <v>0</v>
      </c>
      <c r="O10" s="11">
        <v>52197.833040999998</v>
      </c>
      <c r="P10" s="11" t="s">
        <v>0</v>
      </c>
      <c r="Q10" s="11">
        <v>403.61946099999477</v>
      </c>
      <c r="R10" s="11" t="s">
        <v>0</v>
      </c>
      <c r="S10" s="11" t="s">
        <v>0</v>
      </c>
      <c r="T10" s="11">
        <v>-311.47750079998502</v>
      </c>
      <c r="U10" s="11" t="s">
        <v>0</v>
      </c>
      <c r="V10" s="11">
        <v>53942.539189199997</v>
      </c>
      <c r="W10" s="11" t="s">
        <v>0</v>
      </c>
      <c r="X10" s="11">
        <v>1409.8134444405327</v>
      </c>
      <c r="Y10" s="11" t="s">
        <v>0</v>
      </c>
      <c r="Z10" s="11" t="s">
        <v>0</v>
      </c>
      <c r="AA10" s="11">
        <v>52024</v>
      </c>
      <c r="AB10" s="11" t="s">
        <v>0</v>
      </c>
      <c r="AC10" s="11">
        <v>55057</v>
      </c>
      <c r="AD10" s="11" t="s">
        <v>0</v>
      </c>
      <c r="AE10" s="11">
        <v>47293</v>
      </c>
      <c r="AF10" s="11" t="s">
        <v>0</v>
      </c>
      <c r="AH10" s="11" t="s">
        <v>13</v>
      </c>
    </row>
    <row r="11" spans="1:34">
      <c r="A11" s="11" t="s">
        <v>31</v>
      </c>
      <c r="B11" s="11" t="s">
        <v>0</v>
      </c>
      <c r="C11" s="11" t="s">
        <v>34</v>
      </c>
      <c r="D11" s="11" t="s">
        <v>0</v>
      </c>
      <c r="E11" s="11">
        <v>57354.500649000001</v>
      </c>
      <c r="F11" s="11" t="s">
        <v>0</v>
      </c>
      <c r="G11" s="11">
        <v>57996.529906999996</v>
      </c>
      <c r="H11" s="11" t="s">
        <v>0</v>
      </c>
      <c r="I11" s="11">
        <v>58728.286333999997</v>
      </c>
      <c r="J11" s="11" t="s">
        <v>0</v>
      </c>
      <c r="K11" s="11">
        <v>58777.091935999997</v>
      </c>
      <c r="L11" s="11" t="s">
        <v>0</v>
      </c>
      <c r="M11" s="11">
        <v>141.074388999994</v>
      </c>
      <c r="N11" s="11" t="s">
        <v>0</v>
      </c>
      <c r="O11" s="11">
        <v>58918.166324999991</v>
      </c>
      <c r="P11" s="11" t="s">
        <v>0</v>
      </c>
      <c r="Q11" s="11">
        <v>731.75642700000026</v>
      </c>
      <c r="R11" s="11" t="s">
        <v>0</v>
      </c>
      <c r="S11" s="11" t="s">
        <v>0</v>
      </c>
      <c r="T11" s="11">
        <v>143.44820639998201</v>
      </c>
      <c r="U11" s="11" t="s">
        <v>0</v>
      </c>
      <c r="V11" s="11">
        <v>58308.096526399997</v>
      </c>
      <c r="W11" s="11" t="s">
        <v>0</v>
      </c>
      <c r="X11" s="11">
        <v>547.92736654296561</v>
      </c>
      <c r="Y11" s="11" t="s">
        <v>0</v>
      </c>
      <c r="Z11" s="11" t="s">
        <v>0</v>
      </c>
      <c r="AA11" s="11">
        <v>60366</v>
      </c>
      <c r="AB11" s="11" t="s">
        <v>0</v>
      </c>
      <c r="AC11" s="11">
        <v>56131</v>
      </c>
      <c r="AD11" s="11" t="s">
        <v>0</v>
      </c>
      <c r="AE11" s="11">
        <v>54241</v>
      </c>
      <c r="AF11" s="11" t="s">
        <v>0</v>
      </c>
      <c r="AH11" s="11" t="s">
        <v>13</v>
      </c>
    </row>
    <row r="12" spans="1:34">
      <c r="B12" s="11" t="s">
        <v>0</v>
      </c>
      <c r="C12" s="11" t="s">
        <v>35</v>
      </c>
      <c r="D12" s="11" t="s">
        <v>0</v>
      </c>
      <c r="E12" s="11">
        <v>57854.356719000003</v>
      </c>
      <c r="F12" s="11" t="s">
        <v>0</v>
      </c>
      <c r="G12" s="11">
        <v>58476.659942999999</v>
      </c>
      <c r="H12" s="11" t="s">
        <v>0</v>
      </c>
      <c r="I12" s="11">
        <v>59174.585128999999</v>
      </c>
      <c r="J12" s="11" t="s">
        <v>0</v>
      </c>
      <c r="K12" s="11">
        <v>59209.668990999999</v>
      </c>
      <c r="L12" s="11" t="s">
        <v>0</v>
      </c>
      <c r="M12" s="11">
        <v>139.68806500000201</v>
      </c>
      <c r="N12" s="11" t="s">
        <v>0</v>
      </c>
      <c r="O12" s="11">
        <v>59349.357056000001</v>
      </c>
      <c r="P12" s="11" t="s">
        <v>0</v>
      </c>
      <c r="Q12" s="11">
        <v>697.92518600000039</v>
      </c>
      <c r="R12" s="11" t="s">
        <v>0</v>
      </c>
      <c r="S12" s="11" t="s">
        <v>0</v>
      </c>
      <c r="T12" s="11">
        <v>140.70478140003999</v>
      </c>
      <c r="U12" s="11" t="s">
        <v>0</v>
      </c>
      <c r="V12" s="11">
        <v>58829.435071400098</v>
      </c>
      <c r="W12" s="11" t="s">
        <v>0</v>
      </c>
      <c r="X12" s="11">
        <v>509.1027234007795</v>
      </c>
      <c r="Y12" s="11" t="s">
        <v>0</v>
      </c>
      <c r="Z12" s="11" t="s">
        <v>0</v>
      </c>
      <c r="AA12" s="11">
        <v>60809</v>
      </c>
      <c r="AB12" s="11" t="s">
        <v>0</v>
      </c>
      <c r="AC12" s="11">
        <v>56960</v>
      </c>
      <c r="AD12" s="11" t="s">
        <v>0</v>
      </c>
      <c r="AF12" s="11" t="s">
        <v>0</v>
      </c>
      <c r="AH12" s="11" t="s">
        <v>13</v>
      </c>
    </row>
    <row r="13" spans="1:34">
      <c r="B13" s="11" t="s">
        <v>0</v>
      </c>
      <c r="C13" s="11" t="s">
        <v>20</v>
      </c>
      <c r="D13" s="11" t="s">
        <v>0</v>
      </c>
      <c r="E13" s="11">
        <v>59644.678679999997</v>
      </c>
      <c r="F13" s="11" t="s">
        <v>0</v>
      </c>
      <c r="G13" s="11">
        <v>60138.509725000004</v>
      </c>
      <c r="H13" s="11" t="s">
        <v>0</v>
      </c>
      <c r="I13" s="11">
        <v>60825.671674999998</v>
      </c>
      <c r="J13" s="11" t="s">
        <v>0</v>
      </c>
      <c r="K13" s="11">
        <v>60867.687782000001</v>
      </c>
      <c r="L13" s="11" t="s">
        <v>0</v>
      </c>
      <c r="M13" s="11">
        <v>73.434617999999304</v>
      </c>
      <c r="N13" s="11" t="s">
        <v>0</v>
      </c>
      <c r="O13" s="11">
        <v>60941.1224</v>
      </c>
      <c r="P13" s="11" t="s">
        <v>0</v>
      </c>
      <c r="Q13" s="11">
        <v>687.16194999999425</v>
      </c>
      <c r="R13" s="11" t="s">
        <v>0</v>
      </c>
      <c r="S13" s="11" t="s">
        <v>0</v>
      </c>
      <c r="T13" s="11">
        <v>104.31599219999001</v>
      </c>
      <c r="U13" s="11" t="s">
        <v>0</v>
      </c>
      <c r="V13" s="11">
        <v>60856.7164022</v>
      </c>
      <c r="W13" s="11" t="s">
        <v>0</v>
      </c>
      <c r="X13" s="11">
        <v>330.84979228064685</v>
      </c>
      <c r="Y13" s="11" t="s">
        <v>0</v>
      </c>
      <c r="Z13" s="11" t="s">
        <v>0</v>
      </c>
      <c r="AA13" s="11">
        <v>64470</v>
      </c>
      <c r="AB13" s="11" t="s">
        <v>0</v>
      </c>
      <c r="AC13" s="11">
        <v>58260</v>
      </c>
      <c r="AD13" s="11" t="s">
        <v>0</v>
      </c>
      <c r="AF13" s="11" t="s">
        <v>0</v>
      </c>
      <c r="AH13" s="11" t="s">
        <v>13</v>
      </c>
    </row>
    <row r="14" spans="1:34">
      <c r="B14" s="11" t="s">
        <v>0</v>
      </c>
      <c r="C14" s="11" t="s">
        <v>36</v>
      </c>
      <c r="D14" s="11" t="s">
        <v>0</v>
      </c>
      <c r="E14" s="11">
        <v>60424.620544999998</v>
      </c>
      <c r="F14" s="11" t="s">
        <v>0</v>
      </c>
      <c r="G14" s="11">
        <v>61045.374448000002</v>
      </c>
      <c r="H14" s="11" t="s">
        <v>0</v>
      </c>
      <c r="I14" s="11">
        <v>61788.818857999999</v>
      </c>
      <c r="J14" s="11" t="s">
        <v>0</v>
      </c>
      <c r="K14" s="11">
        <v>61837.965362000003</v>
      </c>
      <c r="L14" s="11" t="s">
        <v>0</v>
      </c>
      <c r="M14" s="11">
        <v>139.686288000004</v>
      </c>
      <c r="N14" s="11" t="s">
        <v>0</v>
      </c>
      <c r="O14" s="11">
        <v>61977.651650000007</v>
      </c>
      <c r="P14" s="11" t="s">
        <v>0</v>
      </c>
      <c r="Q14" s="11">
        <v>743.44440999999642</v>
      </c>
      <c r="R14" s="11" t="s">
        <v>0</v>
      </c>
      <c r="S14" s="11" t="s">
        <v>0</v>
      </c>
      <c r="T14" s="11">
        <v>141.71436179999699</v>
      </c>
      <c r="U14" s="11" t="s">
        <v>0</v>
      </c>
      <c r="V14" s="11">
        <v>61366.642301799999</v>
      </c>
      <c r="W14" s="11" t="s">
        <v>0</v>
      </c>
      <c r="X14" s="11">
        <v>563.15116424676455</v>
      </c>
      <c r="Y14" s="11" t="s">
        <v>0</v>
      </c>
      <c r="Z14" s="11" t="s">
        <v>0</v>
      </c>
      <c r="AB14" s="11" t="s">
        <v>0</v>
      </c>
      <c r="AD14" s="11" t="s">
        <v>0</v>
      </c>
      <c r="AF14" s="11" t="s">
        <v>0</v>
      </c>
      <c r="AH14" s="11" t="s">
        <v>13</v>
      </c>
    </row>
    <row r="15" spans="1:34">
      <c r="B15" s="11" t="s">
        <v>0</v>
      </c>
      <c r="C15" s="11" t="s">
        <v>37</v>
      </c>
      <c r="D15" s="11" t="s">
        <v>0</v>
      </c>
      <c r="E15" s="11">
        <v>61249.287589</v>
      </c>
      <c r="F15" s="11" t="s">
        <v>0</v>
      </c>
      <c r="G15" s="11">
        <v>61858.925131000004</v>
      </c>
      <c r="H15" s="11" t="s">
        <v>0</v>
      </c>
      <c r="I15" s="11">
        <v>62434.322470999999</v>
      </c>
      <c r="J15" s="11" t="s">
        <v>0</v>
      </c>
      <c r="K15" s="11">
        <v>62414.129047000002</v>
      </c>
      <c r="L15" s="11" t="s">
        <v>0</v>
      </c>
      <c r="M15" s="11">
        <v>204.74005700000299</v>
      </c>
      <c r="N15" s="11" t="s">
        <v>0</v>
      </c>
      <c r="O15" s="11">
        <v>62618.869104000005</v>
      </c>
      <c r="P15" s="11" t="s">
        <v>0</v>
      </c>
      <c r="Q15" s="11">
        <v>575.39733999999589</v>
      </c>
      <c r="R15" s="11" t="s">
        <v>0</v>
      </c>
      <c r="S15" s="11" t="s">
        <v>0</v>
      </c>
      <c r="T15" s="11">
        <v>219.10089419998999</v>
      </c>
      <c r="U15" s="11" t="s">
        <v>0</v>
      </c>
      <c r="V15" s="11">
        <v>62031.604624200001</v>
      </c>
      <c r="W15" s="11" t="s">
        <v>0</v>
      </c>
      <c r="X15" s="11">
        <v>459.31309735997274</v>
      </c>
      <c r="Y15" s="11" t="s">
        <v>0</v>
      </c>
      <c r="Z15" s="11" t="s">
        <v>0</v>
      </c>
      <c r="AB15" s="11" t="s">
        <v>0</v>
      </c>
      <c r="AD15" s="11" t="s">
        <v>0</v>
      </c>
      <c r="AF15" s="11" t="s">
        <v>0</v>
      </c>
      <c r="AH15" s="11" t="s">
        <v>38</v>
      </c>
    </row>
    <row r="16" spans="1:34">
      <c r="B16" s="11" t="s">
        <v>0</v>
      </c>
      <c r="C16" s="11" t="s">
        <v>20</v>
      </c>
      <c r="D16" s="11" t="s">
        <v>0</v>
      </c>
      <c r="E16" s="11">
        <v>67764.043313999995</v>
      </c>
      <c r="F16" s="11" t="s">
        <v>0</v>
      </c>
      <c r="G16" s="11">
        <v>68221.431561000005</v>
      </c>
      <c r="H16" s="11" t="s">
        <v>0</v>
      </c>
      <c r="I16" s="11">
        <v>68749.384604000006</v>
      </c>
      <c r="J16" s="11" t="s">
        <v>0</v>
      </c>
      <c r="K16" s="11">
        <v>68724.182060000006</v>
      </c>
      <c r="L16" s="11" t="s">
        <v>0</v>
      </c>
      <c r="M16" s="11">
        <v>95.755165999988094</v>
      </c>
      <c r="N16" s="11" t="s">
        <v>0</v>
      </c>
      <c r="O16" s="11">
        <v>68819.937225999995</v>
      </c>
      <c r="P16" s="11" t="s">
        <v>0</v>
      </c>
      <c r="Q16" s="11">
        <v>527.95304300000134</v>
      </c>
      <c r="R16" s="11" t="s">
        <v>0</v>
      </c>
      <c r="S16" s="11" t="s">
        <v>0</v>
      </c>
      <c r="T16" s="11">
        <v>106.730206199994</v>
      </c>
      <c r="U16" s="11" t="s">
        <v>0</v>
      </c>
      <c r="V16" s="11">
        <v>68588.105056200002</v>
      </c>
      <c r="W16" s="11" t="s">
        <v>0</v>
      </c>
      <c r="X16" s="11">
        <v>518.58466606994546</v>
      </c>
      <c r="Y16" s="11" t="s">
        <v>0</v>
      </c>
      <c r="Z16" s="11" t="s">
        <v>0</v>
      </c>
      <c r="AA16" s="11">
        <v>73686</v>
      </c>
      <c r="AB16" s="11" t="s">
        <v>0</v>
      </c>
      <c r="AC16" s="11">
        <v>68673</v>
      </c>
      <c r="AD16" s="11" t="s">
        <v>0</v>
      </c>
      <c r="AF16" s="11" t="s">
        <v>0</v>
      </c>
      <c r="AH16" s="11" t="s">
        <v>13</v>
      </c>
    </row>
    <row r="17" spans="1:34">
      <c r="A17" s="11" t="s">
        <v>39</v>
      </c>
      <c r="B17" s="11" t="s">
        <v>0</v>
      </c>
      <c r="C17" s="11" t="s">
        <v>15</v>
      </c>
      <c r="D17" s="11" t="s">
        <v>0</v>
      </c>
      <c r="F17" s="11" t="s">
        <v>0</v>
      </c>
      <c r="G17" s="11">
        <v>71771.673880000002</v>
      </c>
      <c r="H17" s="11" t="s">
        <v>0</v>
      </c>
      <c r="I17" s="11">
        <v>72643.416587</v>
      </c>
      <c r="J17" s="11" t="s">
        <v>0</v>
      </c>
      <c r="K17" s="11">
        <v>72737.320609000002</v>
      </c>
      <c r="L17" s="11" t="s">
        <v>0</v>
      </c>
      <c r="M17" s="11">
        <v>172.73969099999499</v>
      </c>
      <c r="N17" s="11" t="s">
        <v>0</v>
      </c>
      <c r="O17" s="11">
        <v>72910.060299999997</v>
      </c>
      <c r="P17" s="11" t="s">
        <v>0</v>
      </c>
      <c r="Q17" s="11">
        <v>871.74270699999761</v>
      </c>
      <c r="R17" s="11" t="s">
        <v>0</v>
      </c>
      <c r="S17" s="11" t="s">
        <v>0</v>
      </c>
      <c r="U17" s="11" t="s">
        <v>0</v>
      </c>
      <c r="W17" s="11" t="s">
        <v>0</v>
      </c>
      <c r="Y17" s="11" t="s">
        <v>0</v>
      </c>
      <c r="Z17" s="11" t="s">
        <v>0</v>
      </c>
      <c r="AB17" s="11" t="s">
        <v>0</v>
      </c>
      <c r="AC17" s="11">
        <v>88861</v>
      </c>
      <c r="AD17" s="11" t="s">
        <v>0</v>
      </c>
      <c r="AF17" s="11" t="s">
        <v>0</v>
      </c>
      <c r="AH17" s="11" t="s">
        <v>13</v>
      </c>
    </row>
    <row r="18" spans="1:34">
      <c r="B18" s="11" t="s">
        <v>0</v>
      </c>
      <c r="C18" s="11" t="s">
        <v>24</v>
      </c>
      <c r="D18" s="11" t="s">
        <v>0</v>
      </c>
      <c r="E18" s="11">
        <v>71017.541215999998</v>
      </c>
      <c r="F18" s="11" t="s">
        <v>0</v>
      </c>
      <c r="G18" s="11">
        <v>72056.176349000001</v>
      </c>
      <c r="H18" s="11" t="s">
        <v>0</v>
      </c>
      <c r="I18" s="11">
        <v>72925.469603000005</v>
      </c>
      <c r="J18" s="11" t="s">
        <v>0</v>
      </c>
      <c r="K18" s="11">
        <v>73018.766936999993</v>
      </c>
      <c r="L18" s="11" t="s">
        <v>0</v>
      </c>
      <c r="M18" s="11">
        <v>174.43350699999399</v>
      </c>
      <c r="N18" s="11" t="s">
        <v>0</v>
      </c>
      <c r="O18" s="11">
        <v>73193.200443999987</v>
      </c>
      <c r="P18" s="11" t="s">
        <v>0</v>
      </c>
      <c r="Q18" s="11">
        <v>869.2932540000038</v>
      </c>
      <c r="R18" s="11" t="s">
        <v>0</v>
      </c>
      <c r="S18" s="11" t="s">
        <v>0</v>
      </c>
      <c r="U18" s="11" t="s">
        <v>0</v>
      </c>
      <c r="W18" s="11" t="s">
        <v>0</v>
      </c>
      <c r="Y18" s="11" t="s">
        <v>0</v>
      </c>
      <c r="Z18" s="11" t="s">
        <v>0</v>
      </c>
      <c r="AB18" s="11" t="s">
        <v>0</v>
      </c>
      <c r="AC18" s="11">
        <v>87785</v>
      </c>
      <c r="AD18" s="11" t="s">
        <v>0</v>
      </c>
      <c r="AF18" s="11" t="s">
        <v>0</v>
      </c>
      <c r="AH18" s="11" t="s">
        <v>13</v>
      </c>
    </row>
    <row r="19" spans="1:34">
      <c r="A19" s="11" t="s">
        <v>33</v>
      </c>
      <c r="B19" s="11" t="s">
        <v>0</v>
      </c>
      <c r="C19" s="11" t="s">
        <v>21</v>
      </c>
      <c r="D19" s="11" t="s">
        <v>0</v>
      </c>
      <c r="E19" s="11">
        <v>73356.333322999999</v>
      </c>
      <c r="F19" s="11" t="s">
        <v>0</v>
      </c>
      <c r="G19" s="11">
        <v>73332.049973999994</v>
      </c>
      <c r="H19" s="11" t="s">
        <v>0</v>
      </c>
      <c r="I19" s="11">
        <v>73794.034834000006</v>
      </c>
      <c r="J19" s="11" t="s">
        <v>0</v>
      </c>
      <c r="K19" s="11">
        <v>73876.300996000005</v>
      </c>
      <c r="L19" s="11" t="s">
        <v>0</v>
      </c>
      <c r="M19" s="11">
        <v>-366.84259499999501</v>
      </c>
      <c r="N19" s="11" t="s">
        <v>0</v>
      </c>
      <c r="O19" s="11">
        <v>73509.458401000011</v>
      </c>
      <c r="P19" s="11" t="s">
        <v>0</v>
      </c>
      <c r="Q19" s="11">
        <v>461.98486000001139</v>
      </c>
      <c r="R19" s="11" t="s">
        <v>0</v>
      </c>
      <c r="S19" s="11" t="s">
        <v>0</v>
      </c>
      <c r="T19" s="11">
        <v>-390.983035800018</v>
      </c>
      <c r="U19" s="11" t="s">
        <v>0</v>
      </c>
      <c r="V19" s="11">
        <v>76525.743324199997</v>
      </c>
      <c r="W19" s="11" t="s">
        <v>0</v>
      </c>
      <c r="X19" s="11">
        <v>1778.3758951297416</v>
      </c>
      <c r="Y19" s="11" t="s">
        <v>0</v>
      </c>
      <c r="Z19" s="11" t="s">
        <v>0</v>
      </c>
      <c r="AA19" s="11">
        <v>76641</v>
      </c>
      <c r="AB19" s="11" t="s">
        <v>0</v>
      </c>
      <c r="AC19" s="11">
        <v>73736</v>
      </c>
      <c r="AD19" s="11" t="s">
        <v>0</v>
      </c>
      <c r="AF19" s="11" t="s">
        <v>0</v>
      </c>
      <c r="AH19" s="11" t="s">
        <v>13</v>
      </c>
    </row>
    <row r="20" spans="1:34">
      <c r="B20" s="11" t="s">
        <v>0</v>
      </c>
      <c r="C20" s="11" t="s">
        <v>22</v>
      </c>
      <c r="D20" s="11" t="s">
        <v>0</v>
      </c>
      <c r="E20" s="11">
        <v>79314.189971</v>
      </c>
      <c r="F20" s="11" t="s">
        <v>0</v>
      </c>
      <c r="G20" s="11">
        <v>79623.797491999998</v>
      </c>
      <c r="H20" s="11" t="s">
        <v>0</v>
      </c>
      <c r="I20" s="11">
        <v>80070.343563999995</v>
      </c>
      <c r="J20" s="11" t="s">
        <v>0</v>
      </c>
      <c r="K20" s="11">
        <v>80157.939461000002</v>
      </c>
      <c r="L20" s="11" t="s">
        <v>0</v>
      </c>
      <c r="M20" s="11">
        <v>-271.07116700000199</v>
      </c>
      <c r="N20" s="11" t="s">
        <v>0</v>
      </c>
      <c r="O20" s="11">
        <v>79886.868294</v>
      </c>
      <c r="P20" s="11" t="s">
        <v>0</v>
      </c>
      <c r="Q20" s="11">
        <v>446.54607199999737</v>
      </c>
      <c r="R20" s="11" t="s">
        <v>0</v>
      </c>
      <c r="S20" s="11" t="s">
        <v>0</v>
      </c>
      <c r="T20" s="11">
        <v>-270.75629484001598</v>
      </c>
      <c r="U20" s="11" t="s">
        <v>0</v>
      </c>
      <c r="V20" s="11">
        <v>83822.462595160003</v>
      </c>
      <c r="W20" s="11" t="s">
        <v>0</v>
      </c>
      <c r="X20" s="11">
        <v>1042.4871831424286</v>
      </c>
      <c r="Y20" s="11" t="s">
        <v>0</v>
      </c>
      <c r="Z20" s="11" t="s">
        <v>0</v>
      </c>
      <c r="AA20" s="11">
        <v>85533</v>
      </c>
      <c r="AB20" s="11" t="s">
        <v>0</v>
      </c>
      <c r="AC20" s="11">
        <v>79637</v>
      </c>
      <c r="AD20" s="11" t="s">
        <v>0</v>
      </c>
      <c r="AF20" s="11" t="s">
        <v>0</v>
      </c>
      <c r="AH20" s="11" t="s">
        <v>40</v>
      </c>
    </row>
  </sheetData>
  <mergeCells count="3">
    <mergeCell ref="E1:Q1"/>
    <mergeCell ref="T1:X1"/>
    <mergeCell ref="A2:C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1399-FE21-4267-B4E8-6480128C608C}">
  <dimension ref="A1:Q28"/>
  <sheetViews>
    <sheetView topLeftCell="G1" zoomScale="120" zoomScaleNormal="120" workbookViewId="0">
      <selection activeCell="A2" sqref="A2:C2"/>
    </sheetView>
  </sheetViews>
  <sheetFormatPr baseColWidth="10" defaultColWidth="8.83203125" defaultRowHeight="15"/>
  <cols>
    <col min="1" max="1" width="15.5" bestFit="1" customWidth="1"/>
    <col min="2" max="2" width="3.1640625" bestFit="1" customWidth="1"/>
    <col min="3" max="3" width="8.6640625" bestFit="1" customWidth="1"/>
    <col min="4" max="4" width="3.1640625" bestFit="1" customWidth="1"/>
    <col min="5" max="5" width="11.83203125" bestFit="1" customWidth="1"/>
    <col min="6" max="6" width="3.1640625" bestFit="1" customWidth="1"/>
    <col min="7" max="7" width="11.83203125" bestFit="1" customWidth="1"/>
    <col min="8" max="8" width="3.1640625" bestFit="1" customWidth="1"/>
    <col min="9" max="9" width="12.33203125" bestFit="1" customWidth="1"/>
    <col min="10" max="10" width="3.1640625" bestFit="1" customWidth="1"/>
    <col min="11" max="11" width="14.33203125" bestFit="1" customWidth="1"/>
    <col min="12" max="13" width="3.1640625" bestFit="1" customWidth="1"/>
    <col min="14" max="14" width="8.33203125" bestFit="1" customWidth="1"/>
    <col min="15" max="15" width="3.1640625" bestFit="1" customWidth="1"/>
    <col min="16" max="16" width="19" customWidth="1"/>
    <col min="17" max="17" width="21.33203125" bestFit="1" customWidth="1"/>
  </cols>
  <sheetData>
    <row r="1" spans="1:17">
      <c r="A1" s="1"/>
      <c r="B1" s="1" t="s">
        <v>0</v>
      </c>
      <c r="C1" s="1"/>
      <c r="D1" s="1" t="s">
        <v>0</v>
      </c>
      <c r="E1" s="17" t="s">
        <v>44</v>
      </c>
      <c r="F1" s="17"/>
      <c r="G1" s="17"/>
      <c r="H1" s="17"/>
      <c r="I1" s="17"/>
      <c r="J1" s="17"/>
      <c r="K1" s="17"/>
      <c r="L1" s="1" t="s">
        <v>0</v>
      </c>
      <c r="M1" s="1" t="s">
        <v>0</v>
      </c>
      <c r="N1" s="1" t="s">
        <v>46</v>
      </c>
      <c r="O1" s="1"/>
      <c r="P1" s="1"/>
      <c r="Q1" s="1" t="s">
        <v>126</v>
      </c>
    </row>
    <row r="2" spans="1:17">
      <c r="A2" s="17" t="s">
        <v>139</v>
      </c>
      <c r="B2" s="17"/>
      <c r="C2" s="17"/>
      <c r="D2" s="1" t="s">
        <v>0</v>
      </c>
      <c r="E2" s="1" t="s">
        <v>6</v>
      </c>
      <c r="F2" s="1" t="s">
        <v>0</v>
      </c>
      <c r="G2" s="1" t="s">
        <v>7</v>
      </c>
      <c r="H2" s="1" t="s">
        <v>0</v>
      </c>
      <c r="I2" s="1" t="s">
        <v>8</v>
      </c>
      <c r="J2" s="1" t="s">
        <v>0</v>
      </c>
      <c r="K2" s="8" t="s">
        <v>140</v>
      </c>
      <c r="L2" s="1" t="s">
        <v>0</v>
      </c>
      <c r="M2" s="1" t="s">
        <v>0</v>
      </c>
      <c r="N2" s="1" t="s">
        <v>45</v>
      </c>
      <c r="O2" s="1" t="s">
        <v>0</v>
      </c>
      <c r="P2" s="8" t="s">
        <v>140</v>
      </c>
      <c r="Q2" s="1" t="s">
        <v>121</v>
      </c>
    </row>
    <row r="3" spans="1:17">
      <c r="A3" s="1" t="s">
        <v>41</v>
      </c>
      <c r="B3" s="1" t="s">
        <v>0</v>
      </c>
      <c r="C3" s="1"/>
      <c r="D3" s="1" t="s">
        <v>0</v>
      </c>
      <c r="E3" s="1"/>
      <c r="F3" s="1" t="s">
        <v>0</v>
      </c>
      <c r="G3" s="1"/>
      <c r="H3" s="1" t="s">
        <v>0</v>
      </c>
      <c r="I3" s="1"/>
      <c r="J3" s="1" t="s">
        <v>0</v>
      </c>
      <c r="K3" s="1"/>
      <c r="L3" s="1" t="s">
        <v>0</v>
      </c>
      <c r="M3" s="1" t="s">
        <v>0</v>
      </c>
      <c r="N3" s="1"/>
      <c r="O3" s="1" t="s">
        <v>0</v>
      </c>
      <c r="P3" s="1"/>
      <c r="Q3" s="1" t="s">
        <v>100</v>
      </c>
    </row>
    <row r="4" spans="1:17">
      <c r="A4" s="1" t="s">
        <v>18</v>
      </c>
      <c r="B4" s="1" t="s">
        <v>0</v>
      </c>
      <c r="C4" s="1" t="s">
        <v>19</v>
      </c>
      <c r="D4" s="1" t="s">
        <v>0</v>
      </c>
      <c r="E4" s="1">
        <v>-55.262990434998002</v>
      </c>
      <c r="F4" s="1" t="s">
        <v>0</v>
      </c>
      <c r="G4" s="1">
        <v>-55.617334515245695</v>
      </c>
      <c r="H4" s="1" t="s">
        <v>0</v>
      </c>
      <c r="I4" s="1">
        <v>-55.76</v>
      </c>
      <c r="J4" s="1" t="s">
        <v>0</v>
      </c>
      <c r="K4" s="1">
        <v>0.14000000000000001</v>
      </c>
      <c r="L4" s="1" t="s">
        <v>0</v>
      </c>
      <c r="M4" s="1" t="s">
        <v>0</v>
      </c>
      <c r="N4" s="1">
        <v>-55.63</v>
      </c>
      <c r="O4" s="1" t="s">
        <v>0</v>
      </c>
      <c r="P4" s="1">
        <v>0.71</v>
      </c>
      <c r="Q4" s="1" t="s">
        <v>13</v>
      </c>
    </row>
    <row r="5" spans="1:17">
      <c r="A5" s="1"/>
      <c r="B5" s="1" t="s">
        <v>0</v>
      </c>
      <c r="C5" s="1" t="s">
        <v>20</v>
      </c>
      <c r="D5" s="1" t="s">
        <v>0</v>
      </c>
      <c r="E5" s="1">
        <v>-55.471839981861301</v>
      </c>
      <c r="F5" s="1" t="s">
        <v>0</v>
      </c>
      <c r="G5" s="1">
        <v>-55.861362317781804</v>
      </c>
      <c r="H5" s="1" t="s">
        <v>0</v>
      </c>
      <c r="I5" s="1">
        <v>-56.01</v>
      </c>
      <c r="J5" s="1" t="s">
        <v>0</v>
      </c>
      <c r="K5" s="1">
        <v>0.15</v>
      </c>
      <c r="L5" s="1" t="s">
        <v>0</v>
      </c>
      <c r="M5" s="1" t="s">
        <v>0</v>
      </c>
      <c r="N5" s="1">
        <v>-55.81</v>
      </c>
      <c r="O5" s="1" t="s">
        <v>0</v>
      </c>
      <c r="P5" s="1">
        <v>0.71</v>
      </c>
      <c r="Q5" s="1" t="s">
        <v>13</v>
      </c>
    </row>
    <row r="6" spans="1:17">
      <c r="A6" s="1"/>
      <c r="B6" s="1" t="s">
        <v>0</v>
      </c>
      <c r="C6" s="1" t="s">
        <v>21</v>
      </c>
      <c r="D6" s="1" t="s">
        <v>0</v>
      </c>
      <c r="E6" s="1">
        <v>-55.267686561421201</v>
      </c>
      <c r="F6" s="1" t="s">
        <v>0</v>
      </c>
      <c r="G6" s="1">
        <v>-55.861447701868599</v>
      </c>
      <c r="H6" s="1" t="s">
        <v>0</v>
      </c>
      <c r="I6" s="1">
        <v>-56.03</v>
      </c>
      <c r="J6" s="1" t="s">
        <v>0</v>
      </c>
      <c r="K6" s="1">
        <v>0.16</v>
      </c>
      <c r="L6" s="1" t="s">
        <v>0</v>
      </c>
      <c r="M6" s="1" t="s">
        <v>0</v>
      </c>
      <c r="N6" s="1">
        <v>-56.05</v>
      </c>
      <c r="O6" s="1" t="s">
        <v>0</v>
      </c>
      <c r="P6" s="1">
        <v>0.8</v>
      </c>
      <c r="Q6" s="1" t="s">
        <v>13</v>
      </c>
    </row>
    <row r="7" spans="1:17">
      <c r="A7" s="1"/>
      <c r="B7" s="1" t="s">
        <v>0</v>
      </c>
      <c r="C7" s="1" t="s">
        <v>22</v>
      </c>
      <c r="D7" s="1" t="s">
        <v>0</v>
      </c>
      <c r="E7" s="1">
        <v>-49.609025061613202</v>
      </c>
      <c r="F7" s="1" t="s">
        <v>0</v>
      </c>
      <c r="G7" s="1">
        <v>-50.137040433234795</v>
      </c>
      <c r="H7" s="1" t="s">
        <v>0</v>
      </c>
      <c r="I7" s="1">
        <v>-50.28</v>
      </c>
      <c r="J7" s="1" t="s">
        <v>0</v>
      </c>
      <c r="K7" s="1">
        <v>0.15</v>
      </c>
      <c r="L7" s="1" t="s">
        <v>0</v>
      </c>
      <c r="M7" s="1" t="s">
        <v>0</v>
      </c>
      <c r="N7" s="1">
        <v>-50.59</v>
      </c>
      <c r="O7" s="1" t="s">
        <v>0</v>
      </c>
      <c r="P7" s="1">
        <v>0.71</v>
      </c>
      <c r="Q7" s="1" t="s">
        <v>13</v>
      </c>
    </row>
    <row r="8" spans="1:17">
      <c r="A8" s="1" t="s">
        <v>23</v>
      </c>
      <c r="B8" s="1" t="s">
        <v>0</v>
      </c>
      <c r="C8" s="1" t="s">
        <v>24</v>
      </c>
      <c r="D8" s="1" t="s">
        <v>0</v>
      </c>
      <c r="E8" s="1">
        <v>-45.928884290907504</v>
      </c>
      <c r="F8" s="1" t="s">
        <v>0</v>
      </c>
      <c r="G8" s="1">
        <v>-46.393544648683502</v>
      </c>
      <c r="H8" s="1" t="s">
        <v>0</v>
      </c>
      <c r="I8" s="1">
        <v>-46.52</v>
      </c>
      <c r="J8" s="1" t="s">
        <v>0</v>
      </c>
      <c r="K8" s="1">
        <v>0.13</v>
      </c>
      <c r="L8" s="1" t="s">
        <v>0</v>
      </c>
      <c r="M8" s="1" t="s">
        <v>0</v>
      </c>
      <c r="N8" s="1">
        <v>-46.76</v>
      </c>
      <c r="O8" s="1" t="s">
        <v>0</v>
      </c>
      <c r="P8" s="1">
        <v>0.73</v>
      </c>
      <c r="Q8" s="1" t="s">
        <v>13</v>
      </c>
    </row>
    <row r="9" spans="1:17">
      <c r="A9" s="1"/>
      <c r="B9" s="1" t="s">
        <v>0</v>
      </c>
      <c r="C9" s="1" t="s">
        <v>15</v>
      </c>
      <c r="D9" s="1" t="s">
        <v>0</v>
      </c>
      <c r="E9" s="1">
        <v>-45.297554139624104</v>
      </c>
      <c r="F9" s="1" t="s">
        <v>0</v>
      </c>
      <c r="G9" s="1">
        <v>-45.764519868293299</v>
      </c>
      <c r="H9" s="1" t="s">
        <v>0</v>
      </c>
      <c r="I9" s="1">
        <v>-45.89</v>
      </c>
      <c r="J9" s="1" t="s">
        <v>0</v>
      </c>
      <c r="K9" s="1">
        <v>0.13</v>
      </c>
      <c r="L9" s="1" t="s">
        <v>0</v>
      </c>
      <c r="M9" s="1" t="s">
        <v>0</v>
      </c>
      <c r="N9" s="1">
        <v>-46.76</v>
      </c>
      <c r="O9" s="1" t="s">
        <v>0</v>
      </c>
      <c r="P9" s="1">
        <v>0.73</v>
      </c>
      <c r="Q9" s="1" t="s">
        <v>13</v>
      </c>
    </row>
    <row r="10" spans="1:17">
      <c r="A10" s="1" t="s">
        <v>25</v>
      </c>
      <c r="B10" s="1" t="s">
        <v>0</v>
      </c>
      <c r="C10" s="1" t="s">
        <v>21</v>
      </c>
      <c r="D10" s="1" t="s">
        <v>0</v>
      </c>
      <c r="E10" s="1">
        <v>16.201465185466301</v>
      </c>
      <c r="F10" s="1" t="s">
        <v>0</v>
      </c>
      <c r="G10" s="1">
        <v>11.0685990702901</v>
      </c>
      <c r="H10" s="1" t="s">
        <v>0</v>
      </c>
      <c r="I10" s="1">
        <v>10.28</v>
      </c>
      <c r="J10" s="1" t="s">
        <v>0</v>
      </c>
      <c r="K10" s="1">
        <v>0.78</v>
      </c>
      <c r="L10" s="1" t="s">
        <v>0</v>
      </c>
      <c r="M10" s="1" t="s">
        <v>0</v>
      </c>
      <c r="N10" s="1">
        <v>23.4</v>
      </c>
      <c r="O10" s="1" t="s">
        <v>0</v>
      </c>
      <c r="P10" s="1">
        <v>0.43</v>
      </c>
      <c r="Q10" s="1" t="s">
        <v>13</v>
      </c>
    </row>
    <row r="11" spans="1:17">
      <c r="A11" s="1" t="s">
        <v>26</v>
      </c>
      <c r="B11" s="1" t="s">
        <v>0</v>
      </c>
      <c r="C11" s="1" t="s">
        <v>19</v>
      </c>
      <c r="D11" s="1" t="s">
        <v>0</v>
      </c>
      <c r="E11" s="1">
        <v>-50.219265336493699</v>
      </c>
      <c r="F11" s="1" t="s">
        <v>0</v>
      </c>
      <c r="G11" s="1">
        <v>-50.721409321018996</v>
      </c>
      <c r="H11" s="1" t="s">
        <v>0</v>
      </c>
      <c r="I11" s="1">
        <v>-50.86</v>
      </c>
      <c r="J11" s="1" t="s">
        <v>0</v>
      </c>
      <c r="K11" s="1">
        <v>0.14000000000000001</v>
      </c>
      <c r="L11" s="1" t="s">
        <v>0</v>
      </c>
      <c r="M11" s="1" t="s">
        <v>0</v>
      </c>
      <c r="N11" s="1">
        <v>-51.33</v>
      </c>
      <c r="O11" s="1" t="s">
        <v>0</v>
      </c>
      <c r="P11" s="1">
        <v>0.8</v>
      </c>
      <c r="Q11" s="1" t="s">
        <v>13</v>
      </c>
    </row>
    <row r="12" spans="1:17">
      <c r="A12" s="1"/>
      <c r="B12" s="1" t="s">
        <v>0</v>
      </c>
      <c r="C12" s="1" t="s">
        <v>20</v>
      </c>
      <c r="D12" s="1" t="s">
        <v>0</v>
      </c>
      <c r="E12" s="1">
        <v>-49.7616064764009</v>
      </c>
      <c r="F12" s="1" t="s">
        <v>0</v>
      </c>
      <c r="G12" s="1">
        <v>-50.3341923563584</v>
      </c>
      <c r="H12" s="1" t="s">
        <v>0</v>
      </c>
      <c r="I12" s="1">
        <v>-50.49</v>
      </c>
      <c r="J12" s="1" t="s">
        <v>0</v>
      </c>
      <c r="K12" s="1">
        <v>0.15</v>
      </c>
      <c r="L12" s="1" t="s">
        <v>0</v>
      </c>
      <c r="M12" s="1" t="s">
        <v>0</v>
      </c>
      <c r="N12" s="1">
        <v>-51.17</v>
      </c>
      <c r="O12" s="1" t="s">
        <v>0</v>
      </c>
      <c r="P12" s="1">
        <v>0.79</v>
      </c>
      <c r="Q12" s="1" t="s">
        <v>13</v>
      </c>
    </row>
    <row r="13" spans="1:17">
      <c r="A13" s="1" t="s">
        <v>25</v>
      </c>
      <c r="B13" s="1" t="s">
        <v>0</v>
      </c>
      <c r="C13" s="1" t="s">
        <v>27</v>
      </c>
      <c r="D13" s="1" t="s">
        <v>0</v>
      </c>
      <c r="E13" s="1">
        <v>29.377685767713302</v>
      </c>
      <c r="F13" s="1" t="s">
        <v>0</v>
      </c>
      <c r="G13" s="1">
        <v>29.572532319760299</v>
      </c>
      <c r="H13" s="1" t="s">
        <v>0</v>
      </c>
      <c r="I13" s="1">
        <v>29.46</v>
      </c>
      <c r="J13" s="1" t="s">
        <v>0</v>
      </c>
      <c r="K13" s="1">
        <v>0.12</v>
      </c>
      <c r="L13" s="1" t="s">
        <v>0</v>
      </c>
      <c r="M13" s="1" t="s">
        <v>0</v>
      </c>
      <c r="N13" s="1">
        <v>26.09</v>
      </c>
      <c r="O13" s="1" t="s">
        <v>0</v>
      </c>
      <c r="P13" s="1">
        <v>0.45</v>
      </c>
      <c r="Q13" s="1" t="s">
        <v>124</v>
      </c>
    </row>
    <row r="14" spans="1:17">
      <c r="A14" s="1" t="s">
        <v>42</v>
      </c>
      <c r="B14" s="1" t="s">
        <v>0</v>
      </c>
      <c r="C14" s="1"/>
      <c r="D14" s="1" t="s">
        <v>0</v>
      </c>
      <c r="E14" s="1"/>
      <c r="F14" s="1" t="s">
        <v>0</v>
      </c>
      <c r="G14" s="1"/>
      <c r="H14" s="1" t="s">
        <v>0</v>
      </c>
      <c r="I14" s="1"/>
      <c r="J14" s="1" t="s">
        <v>0</v>
      </c>
      <c r="K14" s="1"/>
      <c r="L14" s="1" t="s">
        <v>0</v>
      </c>
      <c r="M14" s="1" t="s">
        <v>0</v>
      </c>
      <c r="N14" s="1"/>
      <c r="O14" s="1" t="s">
        <v>0</v>
      </c>
      <c r="P14" s="1"/>
      <c r="Q14" s="1" t="s">
        <v>100</v>
      </c>
    </row>
    <row r="15" spans="1:17">
      <c r="A15" s="1" t="s">
        <v>43</v>
      </c>
      <c r="B15" s="1" t="s">
        <v>0</v>
      </c>
      <c r="C15" s="1" t="s">
        <v>21</v>
      </c>
      <c r="D15" s="1" t="s">
        <v>0</v>
      </c>
      <c r="E15" s="1">
        <v>297.942372994089</v>
      </c>
      <c r="F15" s="1" t="s">
        <v>0</v>
      </c>
      <c r="G15" s="1">
        <v>298.35645180099596</v>
      </c>
      <c r="H15" s="1" t="s">
        <v>0</v>
      </c>
      <c r="I15" s="1">
        <v>298.56</v>
      </c>
      <c r="J15" s="1" t="s">
        <v>0</v>
      </c>
      <c r="K15" s="1">
        <v>0.21</v>
      </c>
      <c r="L15" s="1" t="s">
        <v>0</v>
      </c>
      <c r="M15" s="1" t="s">
        <v>0</v>
      </c>
      <c r="N15" s="1">
        <v>262.45999999999998</v>
      </c>
      <c r="O15" s="1" t="s">
        <v>0</v>
      </c>
      <c r="P15" s="1">
        <v>0.15</v>
      </c>
      <c r="Q15" s="1" t="s">
        <v>13</v>
      </c>
    </row>
    <row r="16" spans="1:17">
      <c r="A16" s="1"/>
      <c r="B16" s="1" t="s">
        <v>0</v>
      </c>
      <c r="C16" s="1" t="s">
        <v>32</v>
      </c>
      <c r="D16" s="1" t="s">
        <v>0</v>
      </c>
      <c r="E16" s="1">
        <v>314.12515613069701</v>
      </c>
      <c r="F16" s="1" t="s">
        <v>0</v>
      </c>
      <c r="G16" s="1">
        <v>314.66068530782201</v>
      </c>
      <c r="H16" s="1" t="s">
        <v>0</v>
      </c>
      <c r="I16" s="1">
        <v>314.74</v>
      </c>
      <c r="J16" s="1" t="s">
        <v>0</v>
      </c>
      <c r="K16" s="1">
        <v>0.08</v>
      </c>
      <c r="L16" s="1" t="s">
        <v>0</v>
      </c>
      <c r="M16" s="1" t="s">
        <v>0</v>
      </c>
      <c r="N16" s="1">
        <v>270.77</v>
      </c>
      <c r="O16" s="1" t="s">
        <v>0</v>
      </c>
      <c r="P16" s="1">
        <v>0.15</v>
      </c>
      <c r="Q16" s="1" t="s">
        <v>13</v>
      </c>
    </row>
    <row r="17" spans="1:17">
      <c r="A17" s="1" t="s">
        <v>33</v>
      </c>
      <c r="B17" s="1" t="s">
        <v>0</v>
      </c>
      <c r="C17" s="1" t="s">
        <v>19</v>
      </c>
      <c r="D17" s="1" t="s">
        <v>0</v>
      </c>
      <c r="E17" s="1">
        <v>-822.55822713130704</v>
      </c>
      <c r="F17" s="1" t="s">
        <v>0</v>
      </c>
      <c r="G17" s="1">
        <v>-828.47917155881203</v>
      </c>
      <c r="H17" s="1" t="s">
        <v>0</v>
      </c>
      <c r="I17" s="1">
        <v>-829</v>
      </c>
      <c r="J17" s="1" t="s">
        <v>0</v>
      </c>
      <c r="K17" s="1">
        <v>0.52</v>
      </c>
      <c r="L17" s="1" t="s">
        <v>0</v>
      </c>
      <c r="M17" s="1" t="s">
        <v>0</v>
      </c>
      <c r="N17" s="1">
        <v>-803</v>
      </c>
      <c r="O17" s="1" t="s">
        <v>0</v>
      </c>
      <c r="P17" s="1">
        <v>0.46</v>
      </c>
      <c r="Q17" s="1" t="s">
        <v>13</v>
      </c>
    </row>
    <row r="18" spans="1:17">
      <c r="A18" s="1"/>
      <c r="B18" s="1" t="s">
        <v>0</v>
      </c>
      <c r="C18" s="1" t="s">
        <v>20</v>
      </c>
      <c r="D18" s="1" t="s">
        <v>0</v>
      </c>
      <c r="E18" s="1">
        <v>-581.03982947413294</v>
      </c>
      <c r="F18" s="1" t="s">
        <v>0</v>
      </c>
      <c r="G18" s="1">
        <v>-599.14477982544099</v>
      </c>
      <c r="H18" s="1" t="s">
        <v>0</v>
      </c>
      <c r="I18" s="1">
        <v>-599.47</v>
      </c>
      <c r="J18" s="1" t="s">
        <v>0</v>
      </c>
      <c r="K18" s="1">
        <v>0.33</v>
      </c>
      <c r="L18" s="1" t="s">
        <v>0</v>
      </c>
      <c r="M18" s="1" t="s">
        <v>0</v>
      </c>
      <c r="N18" s="1">
        <v>-318.51</v>
      </c>
      <c r="O18" s="1" t="s">
        <v>0</v>
      </c>
      <c r="P18" s="1">
        <v>0.09</v>
      </c>
      <c r="Q18" s="1" t="s">
        <v>13</v>
      </c>
    </row>
    <row r="19" spans="1:17">
      <c r="A19" s="1" t="s">
        <v>31</v>
      </c>
      <c r="B19" s="1" t="s">
        <v>0</v>
      </c>
      <c r="C19" s="1" t="s">
        <v>34</v>
      </c>
      <c r="D19" s="1" t="s">
        <v>0</v>
      </c>
      <c r="E19" s="1">
        <v>232.932239291716</v>
      </c>
      <c r="F19" s="1" t="s">
        <v>0</v>
      </c>
      <c r="G19" s="1">
        <v>231.69024194335802</v>
      </c>
      <c r="H19" s="1" t="s">
        <v>0</v>
      </c>
      <c r="I19" s="1">
        <v>231.26</v>
      </c>
      <c r="J19" s="1" t="s">
        <v>0</v>
      </c>
      <c r="K19" s="1">
        <v>0.43</v>
      </c>
      <c r="L19" s="1" t="s">
        <v>0</v>
      </c>
      <c r="M19" s="1" t="s">
        <v>0</v>
      </c>
      <c r="N19" s="1">
        <v>187.11</v>
      </c>
      <c r="O19" s="1" t="s">
        <v>0</v>
      </c>
      <c r="P19" s="1">
        <v>0.11</v>
      </c>
      <c r="Q19" s="1" t="s">
        <v>13</v>
      </c>
    </row>
    <row r="20" spans="1:17">
      <c r="A20" s="1"/>
      <c r="B20" s="1" t="s">
        <v>0</v>
      </c>
      <c r="C20" s="1" t="s">
        <v>35</v>
      </c>
      <c r="D20" s="1" t="s">
        <v>0</v>
      </c>
      <c r="E20" s="1">
        <v>227.01774990425099</v>
      </c>
      <c r="F20" s="1" t="s">
        <v>0</v>
      </c>
      <c r="G20" s="1">
        <v>227.83921340566098</v>
      </c>
      <c r="H20" s="1" t="s">
        <v>0</v>
      </c>
      <c r="I20" s="1">
        <v>228.82</v>
      </c>
      <c r="J20" s="1" t="s">
        <v>0</v>
      </c>
      <c r="K20" s="1">
        <v>0.98</v>
      </c>
      <c r="L20" s="1" t="s">
        <v>0</v>
      </c>
      <c r="M20" s="1" t="s">
        <v>0</v>
      </c>
      <c r="N20" s="1">
        <v>183.79</v>
      </c>
      <c r="O20" s="1" t="s">
        <v>0</v>
      </c>
      <c r="P20" s="1">
        <v>0.11</v>
      </c>
      <c r="Q20" s="1" t="s">
        <v>13</v>
      </c>
    </row>
    <row r="21" spans="1:17">
      <c r="A21" s="1"/>
      <c r="B21" s="1" t="s">
        <v>0</v>
      </c>
      <c r="C21" s="1" t="s">
        <v>20</v>
      </c>
      <c r="D21" s="1" t="s">
        <v>0</v>
      </c>
      <c r="E21" s="1">
        <v>95.1279119027988</v>
      </c>
      <c r="F21" s="1" t="s">
        <v>0</v>
      </c>
      <c r="G21" s="1">
        <v>101.561673333158</v>
      </c>
      <c r="H21" s="1" t="s">
        <v>0</v>
      </c>
      <c r="I21" s="1">
        <v>101.93</v>
      </c>
      <c r="J21" s="1" t="s">
        <v>0</v>
      </c>
      <c r="K21" s="1">
        <v>0.37</v>
      </c>
      <c r="L21" s="1" t="s">
        <v>0</v>
      </c>
      <c r="M21" s="1" t="s">
        <v>0</v>
      </c>
      <c r="N21" s="1">
        <v>-91.48</v>
      </c>
      <c r="O21" s="1" t="s">
        <v>0</v>
      </c>
      <c r="P21" s="1">
        <v>0.1</v>
      </c>
      <c r="Q21" s="1" t="s">
        <v>13</v>
      </c>
    </row>
    <row r="22" spans="1:17">
      <c r="A22" s="1"/>
      <c r="B22" s="1" t="s">
        <v>0</v>
      </c>
      <c r="C22" s="1" t="s">
        <v>36</v>
      </c>
      <c r="D22" s="1" t="s">
        <v>0</v>
      </c>
      <c r="E22" s="1">
        <v>243.37147204317901</v>
      </c>
      <c r="F22" s="1" t="s">
        <v>0</v>
      </c>
      <c r="G22" s="1">
        <v>242.08668017923</v>
      </c>
      <c r="H22" s="1" t="s">
        <v>0</v>
      </c>
      <c r="I22" s="1">
        <v>241.62</v>
      </c>
      <c r="J22" s="1" t="s">
        <v>0</v>
      </c>
      <c r="K22" s="1">
        <v>0.47</v>
      </c>
      <c r="L22" s="1" t="s">
        <v>0</v>
      </c>
      <c r="M22" s="1" t="s">
        <v>0</v>
      </c>
      <c r="N22" s="1">
        <v>193.27</v>
      </c>
      <c r="O22" s="1" t="s">
        <v>0</v>
      </c>
      <c r="P22" s="1">
        <v>0.71</v>
      </c>
      <c r="Q22" s="1" t="s">
        <v>13</v>
      </c>
    </row>
    <row r="23" spans="1:17">
      <c r="A23" s="1"/>
      <c r="B23" s="1" t="s">
        <v>0</v>
      </c>
      <c r="C23" s="1" t="s">
        <v>37</v>
      </c>
      <c r="D23" s="1" t="s">
        <v>0</v>
      </c>
      <c r="E23" s="1">
        <v>349.52339543430401</v>
      </c>
      <c r="F23" s="1" t="s">
        <v>0</v>
      </c>
      <c r="G23" s="1">
        <v>346.77976472230097</v>
      </c>
      <c r="H23" s="1" t="s">
        <v>0</v>
      </c>
      <c r="I23" s="1">
        <v>346</v>
      </c>
      <c r="J23" s="1" t="s">
        <v>0</v>
      </c>
      <c r="K23" s="1">
        <v>0.78</v>
      </c>
      <c r="L23" s="1" t="s">
        <v>0</v>
      </c>
      <c r="M23" s="1" t="s">
        <v>0</v>
      </c>
      <c r="N23" s="1">
        <v>300.70999999999998</v>
      </c>
      <c r="O23" s="1" t="s">
        <v>0</v>
      </c>
      <c r="P23" s="1">
        <v>0.17</v>
      </c>
      <c r="Q23" s="1" t="s">
        <v>13</v>
      </c>
    </row>
    <row r="24" spans="1:17">
      <c r="A24" s="1"/>
      <c r="B24" s="1" t="s">
        <v>0</v>
      </c>
      <c r="C24" s="1" t="s">
        <v>20</v>
      </c>
      <c r="D24" s="1" t="s">
        <v>0</v>
      </c>
      <c r="E24" s="1">
        <v>110.38738537258401</v>
      </c>
      <c r="F24" s="1" t="s">
        <v>0</v>
      </c>
      <c r="G24" s="1">
        <v>112.65453856960301</v>
      </c>
      <c r="H24" s="1" t="s">
        <v>0</v>
      </c>
      <c r="I24" s="1">
        <v>112.99</v>
      </c>
      <c r="J24" s="1" t="s">
        <v>0</v>
      </c>
      <c r="K24" s="1">
        <v>0.33</v>
      </c>
      <c r="L24" s="1" t="s">
        <v>0</v>
      </c>
      <c r="M24" s="1" t="s">
        <v>0</v>
      </c>
      <c r="N24" s="1">
        <v>35.43</v>
      </c>
      <c r="O24" s="1" t="s">
        <v>0</v>
      </c>
      <c r="P24" s="1">
        <v>0.03</v>
      </c>
      <c r="Q24" s="1" t="s">
        <v>13</v>
      </c>
    </row>
    <row r="25" spans="1:17">
      <c r="A25" s="1" t="s">
        <v>39</v>
      </c>
      <c r="B25" s="1" t="s">
        <v>0</v>
      </c>
      <c r="C25" s="1" t="s">
        <v>15</v>
      </c>
      <c r="D25" s="1" t="s">
        <v>0</v>
      </c>
      <c r="E25" s="1">
        <v>388.378427737658</v>
      </c>
      <c r="F25" s="1" t="s">
        <v>0</v>
      </c>
      <c r="G25" s="1">
        <v>387.88210695371799</v>
      </c>
      <c r="H25" s="1" t="s">
        <v>0</v>
      </c>
      <c r="I25" s="1">
        <v>389</v>
      </c>
      <c r="J25" s="1" t="s">
        <v>0</v>
      </c>
      <c r="K25" s="1">
        <f>I25-G25</f>
        <v>1.1178930462820063</v>
      </c>
      <c r="L25" s="1" t="s">
        <v>0</v>
      </c>
      <c r="M25" s="1" t="s">
        <v>0</v>
      </c>
      <c r="N25" s="1"/>
      <c r="O25" s="1" t="s">
        <v>0</v>
      </c>
      <c r="P25" s="1"/>
      <c r="Q25" s="1" t="s">
        <v>13</v>
      </c>
    </row>
    <row r="26" spans="1:17">
      <c r="A26" s="1"/>
      <c r="B26" s="1" t="s">
        <v>0</v>
      </c>
      <c r="C26" s="1" t="s">
        <v>24</v>
      </c>
      <c r="D26" s="1" t="s">
        <v>0</v>
      </c>
      <c r="E26" s="1">
        <v>388.529284398659</v>
      </c>
      <c r="F26" s="1" t="s">
        <v>0</v>
      </c>
      <c r="G26" s="1">
        <v>388.03009470529696</v>
      </c>
      <c r="H26" s="1" t="s">
        <v>0</v>
      </c>
      <c r="I26" s="1">
        <v>387.68</v>
      </c>
      <c r="J26" s="1" t="s">
        <v>0</v>
      </c>
      <c r="K26" s="1">
        <v>0.35</v>
      </c>
      <c r="L26" s="1" t="s">
        <v>0</v>
      </c>
      <c r="M26" s="1" t="s">
        <v>0</v>
      </c>
      <c r="N26" s="1"/>
      <c r="O26" s="1" t="s">
        <v>0</v>
      </c>
      <c r="P26" s="1"/>
      <c r="Q26" s="1" t="s">
        <v>13</v>
      </c>
    </row>
    <row r="27" spans="1:17">
      <c r="A27" s="1" t="s">
        <v>33</v>
      </c>
      <c r="B27" s="1" t="s">
        <v>0</v>
      </c>
      <c r="C27" s="1" t="s">
        <v>21</v>
      </c>
      <c r="D27" s="1" t="s">
        <v>0</v>
      </c>
      <c r="E27" s="1">
        <v>-899.05880866222503</v>
      </c>
      <c r="F27" s="1" t="s">
        <v>0</v>
      </c>
      <c r="G27" s="1">
        <v>-904.73326622688808</v>
      </c>
      <c r="H27" s="1" t="s">
        <v>0</v>
      </c>
      <c r="I27" s="1">
        <v>-906</v>
      </c>
      <c r="J27" s="1" t="s">
        <v>0</v>
      </c>
      <c r="K27" s="1">
        <v>1.27</v>
      </c>
      <c r="L27" s="1" t="s">
        <v>0</v>
      </c>
      <c r="M27" s="1" t="s">
        <v>0</v>
      </c>
      <c r="N27" s="1">
        <v>-766.74</v>
      </c>
      <c r="O27" s="1" t="s">
        <v>0</v>
      </c>
      <c r="P27" s="1">
        <v>0.3</v>
      </c>
      <c r="Q27" s="1" t="s">
        <v>13</v>
      </c>
    </row>
    <row r="28" spans="1:17">
      <c r="A28" s="1"/>
      <c r="B28" s="1" t="s">
        <v>0</v>
      </c>
      <c r="C28" s="1" t="s">
        <v>22</v>
      </c>
      <c r="D28" s="1" t="s">
        <v>0</v>
      </c>
      <c r="E28" s="1">
        <v>-635.53542162867097</v>
      </c>
      <c r="F28" s="1" t="s">
        <v>0</v>
      </c>
      <c r="G28" s="1">
        <v>-626.45318154753102</v>
      </c>
      <c r="H28" s="1" t="s">
        <v>0</v>
      </c>
      <c r="I28" s="1">
        <v>-628</v>
      </c>
      <c r="J28" s="1" t="s">
        <v>0</v>
      </c>
      <c r="K28" s="1">
        <v>1.55</v>
      </c>
      <c r="L28" s="1" t="s">
        <v>0</v>
      </c>
      <c r="M28" s="1" t="s">
        <v>0</v>
      </c>
      <c r="N28" s="1"/>
      <c r="O28" s="1" t="s">
        <v>0</v>
      </c>
      <c r="P28" s="1"/>
      <c r="Q28" s="1" t="s">
        <v>40</v>
      </c>
    </row>
  </sheetData>
  <mergeCells count="2">
    <mergeCell ref="E1:K1"/>
    <mergeCell ref="A2:C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166F-AEAB-45BD-8D1E-6BF8CA7258DB}">
  <dimension ref="A1:V13"/>
  <sheetViews>
    <sheetView zoomScale="120" zoomScaleNormal="120" workbookViewId="0">
      <selection activeCell="O9" sqref="A1:O9"/>
    </sheetView>
  </sheetViews>
  <sheetFormatPr baseColWidth="10" defaultColWidth="8.83203125" defaultRowHeight="15"/>
  <cols>
    <col min="1" max="1" width="9.33203125" style="3" bestFit="1" customWidth="1"/>
    <col min="2" max="2" width="3.1640625" style="3" bestFit="1" customWidth="1"/>
    <col min="3" max="3" width="12.33203125" style="3" bestFit="1" customWidth="1"/>
    <col min="4" max="4" width="3.1640625" style="3" bestFit="1" customWidth="1"/>
    <col min="5" max="5" width="14.33203125" style="3" bestFit="1" customWidth="1"/>
    <col min="6" max="7" width="3.1640625" style="3" bestFit="1" customWidth="1"/>
    <col min="8" max="8" width="9" style="3" bestFit="1" customWidth="1"/>
    <col min="9" max="9" width="3.1640625" style="3" bestFit="1" customWidth="1"/>
    <col min="10" max="10" width="9.1640625" style="3" bestFit="1" customWidth="1"/>
    <col min="11" max="11" width="3.1640625" style="3" bestFit="1" customWidth="1"/>
    <col min="12" max="12" width="14.1640625" style="3" bestFit="1" customWidth="1"/>
    <col min="13" max="13" width="3.1640625" style="3" bestFit="1" customWidth="1"/>
    <col min="14" max="14" width="43.5" style="3" bestFit="1" customWidth="1"/>
    <col min="15" max="15" width="12.1640625" style="3" bestFit="1" customWidth="1"/>
    <col min="16" max="16" width="27" style="3" bestFit="1" customWidth="1"/>
    <col min="17" max="17" width="3.1640625" style="3" bestFit="1" customWidth="1"/>
    <col min="18" max="18" width="11.83203125" style="3" bestFit="1" customWidth="1"/>
    <col min="19" max="19" width="3.1640625" style="3" bestFit="1" customWidth="1"/>
    <col min="20" max="20" width="22" style="3" bestFit="1" customWidth="1"/>
    <col min="21" max="21" width="8.83203125" style="3"/>
    <col min="22" max="22" width="12.1640625" style="3" bestFit="1" customWidth="1"/>
    <col min="23" max="16384" width="8.83203125" style="3"/>
  </cols>
  <sheetData>
    <row r="1" spans="1:22">
      <c r="A1" s="12"/>
      <c r="B1" s="3" t="s">
        <v>0</v>
      </c>
      <c r="C1" s="18" t="s">
        <v>130</v>
      </c>
      <c r="D1" s="18"/>
      <c r="E1" s="18"/>
      <c r="F1" s="12" t="s">
        <v>132</v>
      </c>
      <c r="G1" s="12" t="s">
        <v>132</v>
      </c>
      <c r="H1" s="18" t="s">
        <v>133</v>
      </c>
      <c r="I1" s="18"/>
      <c r="J1" s="18"/>
      <c r="K1" s="3" t="s">
        <v>0</v>
      </c>
      <c r="L1" s="12"/>
      <c r="M1" s="3" t="s">
        <v>0</v>
      </c>
      <c r="N1" s="12"/>
      <c r="O1" s="3" t="s">
        <v>134</v>
      </c>
    </row>
    <row r="2" spans="1:22">
      <c r="A2" s="12" t="s">
        <v>120</v>
      </c>
      <c r="B2" s="3" t="s">
        <v>0</v>
      </c>
      <c r="C2" s="3" t="s">
        <v>131</v>
      </c>
      <c r="D2" s="3" t="s">
        <v>0</v>
      </c>
      <c r="E2" s="8" t="s">
        <v>140</v>
      </c>
      <c r="F2" s="3" t="s">
        <v>0</v>
      </c>
      <c r="G2" s="3" t="s">
        <v>0</v>
      </c>
      <c r="H2" s="3" t="s">
        <v>131</v>
      </c>
      <c r="I2" s="3" t="s">
        <v>0</v>
      </c>
      <c r="J2" s="8" t="s">
        <v>140</v>
      </c>
      <c r="K2" s="3" t="s">
        <v>0</v>
      </c>
      <c r="L2" s="18" t="s">
        <v>117</v>
      </c>
      <c r="M2" s="18"/>
      <c r="N2" s="18"/>
      <c r="O2" s="1" t="s">
        <v>121</v>
      </c>
    </row>
    <row r="3" spans="1:22">
      <c r="A3" s="3" t="s">
        <v>47</v>
      </c>
      <c r="B3" s="3" t="s">
        <v>0</v>
      </c>
      <c r="C3" s="3">
        <v>-55.76</v>
      </c>
      <c r="D3" s="3" t="s">
        <v>0</v>
      </c>
      <c r="E3" s="3">
        <v>0.14000000000000001</v>
      </c>
      <c r="F3" s="3" t="s">
        <v>0</v>
      </c>
      <c r="G3" s="3" t="s">
        <v>0</v>
      </c>
      <c r="H3" s="3">
        <v>-55.72</v>
      </c>
      <c r="I3" s="3" t="s">
        <v>0</v>
      </c>
      <c r="J3" s="3">
        <v>0.86</v>
      </c>
      <c r="K3" s="3" t="s">
        <v>0</v>
      </c>
      <c r="L3" s="3" t="s">
        <v>110</v>
      </c>
      <c r="M3" s="3" t="s">
        <v>0</v>
      </c>
      <c r="N3" s="3" t="s">
        <v>48</v>
      </c>
      <c r="O3" s="3" t="s">
        <v>13</v>
      </c>
    </row>
    <row r="4" spans="1:22">
      <c r="A4" s="3" t="s">
        <v>49</v>
      </c>
      <c r="B4" s="3" t="s">
        <v>0</v>
      </c>
      <c r="C4" s="3">
        <v>-56.01</v>
      </c>
      <c r="D4" s="3" t="s">
        <v>0</v>
      </c>
      <c r="E4" s="3">
        <v>0.15</v>
      </c>
      <c r="F4" s="3" t="s">
        <v>0</v>
      </c>
      <c r="G4" s="3" t="s">
        <v>0</v>
      </c>
      <c r="H4" s="3">
        <v>-55.97</v>
      </c>
      <c r="I4" s="3" t="s">
        <v>0</v>
      </c>
      <c r="J4" s="3">
        <v>0.86</v>
      </c>
      <c r="K4" s="3" t="s">
        <v>0</v>
      </c>
      <c r="L4" s="3" t="s">
        <v>111</v>
      </c>
      <c r="M4" s="3" t="s">
        <v>0</v>
      </c>
      <c r="N4" s="3" t="s">
        <v>50</v>
      </c>
      <c r="O4" s="3" t="s">
        <v>13</v>
      </c>
    </row>
    <row r="5" spans="1:22">
      <c r="B5" s="3" t="s">
        <v>0</v>
      </c>
      <c r="D5" s="3" t="s">
        <v>0</v>
      </c>
      <c r="F5" s="3" t="s">
        <v>0</v>
      </c>
      <c r="G5" s="3" t="s">
        <v>0</v>
      </c>
      <c r="I5" s="3" t="s">
        <v>0</v>
      </c>
      <c r="K5" s="3" t="s">
        <v>0</v>
      </c>
      <c r="L5" s="3" t="s">
        <v>112</v>
      </c>
      <c r="M5" s="3" t="s">
        <v>0</v>
      </c>
      <c r="N5" s="3" t="s">
        <v>51</v>
      </c>
      <c r="O5" s="3" t="s">
        <v>13</v>
      </c>
    </row>
    <row r="6" spans="1:22">
      <c r="B6" s="3" t="s">
        <v>0</v>
      </c>
      <c r="D6" s="3" t="s">
        <v>0</v>
      </c>
      <c r="F6" s="3" t="s">
        <v>0</v>
      </c>
      <c r="G6" s="3" t="s">
        <v>0</v>
      </c>
      <c r="I6" s="3" t="s">
        <v>0</v>
      </c>
      <c r="K6" s="3" t="s">
        <v>0</v>
      </c>
      <c r="L6" s="3" t="s">
        <v>113</v>
      </c>
      <c r="M6" s="3" t="s">
        <v>0</v>
      </c>
      <c r="N6" s="3" t="s">
        <v>48</v>
      </c>
      <c r="O6" s="3" t="s">
        <v>13</v>
      </c>
    </row>
    <row r="7" spans="1:22">
      <c r="B7" s="3" t="s">
        <v>0</v>
      </c>
      <c r="D7" s="3" t="s">
        <v>0</v>
      </c>
      <c r="F7" s="3" t="s">
        <v>0</v>
      </c>
      <c r="G7" s="3" t="s">
        <v>0</v>
      </c>
      <c r="I7" s="3" t="s">
        <v>0</v>
      </c>
      <c r="K7" s="3" t="s">
        <v>0</v>
      </c>
      <c r="L7" s="3">
        <v>-55.36</v>
      </c>
      <c r="M7" s="3" t="s">
        <v>0</v>
      </c>
      <c r="N7" s="3" t="s">
        <v>52</v>
      </c>
      <c r="O7" s="3" t="s">
        <v>13</v>
      </c>
    </row>
    <row r="8" spans="1:22">
      <c r="B8" s="3" t="s">
        <v>0</v>
      </c>
      <c r="D8" s="3" t="s">
        <v>0</v>
      </c>
      <c r="F8" s="3" t="s">
        <v>0</v>
      </c>
      <c r="G8" s="3" t="s">
        <v>0</v>
      </c>
      <c r="I8" s="3" t="s">
        <v>0</v>
      </c>
      <c r="K8" s="3" t="s">
        <v>0</v>
      </c>
      <c r="L8" s="3" t="s">
        <v>114</v>
      </c>
      <c r="M8" s="3" t="s">
        <v>0</v>
      </c>
      <c r="N8" s="3" t="s">
        <v>53</v>
      </c>
      <c r="O8" s="3" t="s">
        <v>13</v>
      </c>
    </row>
    <row r="9" spans="1:22">
      <c r="A9" s="3" t="s">
        <v>54</v>
      </c>
      <c r="B9" s="3" t="s">
        <v>0</v>
      </c>
      <c r="C9" s="3">
        <v>9.51</v>
      </c>
      <c r="D9" s="3" t="s">
        <v>0</v>
      </c>
      <c r="E9" s="3">
        <v>0.21</v>
      </c>
      <c r="F9" s="3" t="s">
        <v>0</v>
      </c>
      <c r="G9" s="3" t="s">
        <v>0</v>
      </c>
      <c r="H9" s="3">
        <v>9.6999999999999993</v>
      </c>
      <c r="I9" s="3" t="s">
        <v>0</v>
      </c>
      <c r="J9" s="3">
        <v>1.1499999999999999</v>
      </c>
      <c r="K9" s="3" t="s">
        <v>0</v>
      </c>
      <c r="L9" s="3" t="s">
        <v>55</v>
      </c>
      <c r="M9" s="3" t="s">
        <v>0</v>
      </c>
      <c r="N9" s="3" t="s">
        <v>53</v>
      </c>
      <c r="O9" s="3" t="s">
        <v>115</v>
      </c>
    </row>
    <row r="12" spans="1:2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</sheetData>
  <mergeCells count="3">
    <mergeCell ref="L2:N2"/>
    <mergeCell ref="C1:E1"/>
    <mergeCell ref="H1:J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BF49-C534-4A6F-8B63-8C89C4C0E251}">
  <dimension ref="A1:O34"/>
  <sheetViews>
    <sheetView tabSelected="1" zoomScale="85" zoomScaleNormal="85" workbookViewId="0">
      <selection activeCell="O35" sqref="O35"/>
    </sheetView>
  </sheetViews>
  <sheetFormatPr baseColWidth="10" defaultColWidth="9" defaultRowHeight="15"/>
  <cols>
    <col min="1" max="1" width="32" style="1" bestFit="1" customWidth="1"/>
    <col min="2" max="2" width="3.1640625" style="1" bestFit="1" customWidth="1"/>
    <col min="3" max="3" width="8.5" style="1" bestFit="1" customWidth="1"/>
    <col min="4" max="4" width="3.1640625" style="1" bestFit="1" customWidth="1"/>
    <col min="5" max="5" width="16.6640625" style="1" bestFit="1" customWidth="1"/>
    <col min="6" max="6" width="3.1640625" style="1" bestFit="1" customWidth="1"/>
    <col min="7" max="7" width="27" style="1" bestFit="1" customWidth="1"/>
    <col min="8" max="8" width="3.1640625" style="1" bestFit="1" customWidth="1"/>
    <col min="9" max="9" width="13.1640625" style="1" bestFit="1" customWidth="1"/>
    <col min="10" max="10" width="3.1640625" style="1" bestFit="1" customWidth="1"/>
    <col min="11" max="11" width="13.1640625" style="1" customWidth="1"/>
    <col min="12" max="12" width="3.1640625" style="1" bestFit="1" customWidth="1"/>
    <col min="13" max="13" width="22" style="1" bestFit="1" customWidth="1"/>
    <col min="14" max="14" width="35.83203125" style="1" bestFit="1" customWidth="1"/>
    <col min="15" max="15" width="12.1640625" style="1" bestFit="1" customWidth="1"/>
    <col min="16" max="16384" width="9" style="1"/>
  </cols>
  <sheetData>
    <row r="1" spans="1:15">
      <c r="B1" s="1" t="s">
        <v>0</v>
      </c>
      <c r="D1" s="1" t="s">
        <v>0</v>
      </c>
      <c r="F1" s="1" t="s">
        <v>0</v>
      </c>
      <c r="G1" s="17" t="s">
        <v>135</v>
      </c>
      <c r="H1" s="17"/>
      <c r="I1" s="17"/>
      <c r="J1" s="17"/>
      <c r="K1" s="17"/>
      <c r="L1" s="1" t="s">
        <v>0</v>
      </c>
      <c r="O1" s="1" t="s">
        <v>128</v>
      </c>
    </row>
    <row r="2" spans="1:15">
      <c r="A2" s="17" t="s">
        <v>139</v>
      </c>
      <c r="B2" s="17"/>
      <c r="C2" s="17"/>
      <c r="D2" s="1" t="s">
        <v>0</v>
      </c>
      <c r="F2" s="1" t="s">
        <v>0</v>
      </c>
      <c r="G2" s="1" t="s">
        <v>6</v>
      </c>
      <c r="H2" s="1" t="s">
        <v>0</v>
      </c>
      <c r="I2" s="1" t="s">
        <v>7</v>
      </c>
      <c r="J2" s="1" t="s">
        <v>0</v>
      </c>
      <c r="K2" s="8" t="s">
        <v>140</v>
      </c>
      <c r="L2" s="1" t="s">
        <v>0</v>
      </c>
      <c r="M2" s="1" t="s">
        <v>116</v>
      </c>
      <c r="O2" s="1" t="s">
        <v>122</v>
      </c>
    </row>
    <row r="3" spans="1:15">
      <c r="A3" s="1" t="s">
        <v>41</v>
      </c>
      <c r="B3" s="1" t="s">
        <v>0</v>
      </c>
      <c r="D3" s="1" t="s">
        <v>0</v>
      </c>
      <c r="F3" s="1" t="s">
        <v>0</v>
      </c>
      <c r="H3" s="1" t="s">
        <v>0</v>
      </c>
      <c r="J3" s="1" t="s">
        <v>0</v>
      </c>
      <c r="L3" s="1" t="s">
        <v>0</v>
      </c>
      <c r="O3" s="1" t="s">
        <v>100</v>
      </c>
    </row>
    <row r="4" spans="1:15">
      <c r="A4" s="1" t="s">
        <v>14</v>
      </c>
      <c r="B4" s="1" t="s">
        <v>0</v>
      </c>
      <c r="C4" s="1" t="s">
        <v>15</v>
      </c>
      <c r="D4" s="1" t="s">
        <v>0</v>
      </c>
      <c r="E4" s="1" t="s">
        <v>56</v>
      </c>
      <c r="F4" s="1" t="s">
        <v>0</v>
      </c>
      <c r="G4" s="1">
        <v>35.525060000000003</v>
      </c>
      <c r="H4" s="1" t="s">
        <v>0</v>
      </c>
      <c r="I4" s="1">
        <v>35.28</v>
      </c>
      <c r="J4" s="1" t="s">
        <v>0</v>
      </c>
      <c r="K4" s="1">
        <v>0.25</v>
      </c>
      <c r="L4" s="1" t="s">
        <v>0</v>
      </c>
      <c r="M4" s="1" t="s">
        <v>57</v>
      </c>
      <c r="N4" s="1" t="s">
        <v>58</v>
      </c>
      <c r="O4" s="1" t="s">
        <v>127</v>
      </c>
    </row>
    <row r="5" spans="1:15">
      <c r="B5" s="1" t="s">
        <v>0</v>
      </c>
      <c r="D5" s="1" t="s">
        <v>0</v>
      </c>
      <c r="F5" s="1" t="s">
        <v>0</v>
      </c>
      <c r="H5" s="1" t="s">
        <v>0</v>
      </c>
      <c r="J5" s="1" t="s">
        <v>0</v>
      </c>
      <c r="L5" s="1" t="s">
        <v>0</v>
      </c>
      <c r="M5" s="1" t="s">
        <v>59</v>
      </c>
      <c r="N5" s="1" t="s">
        <v>60</v>
      </c>
      <c r="O5" s="1" t="s">
        <v>13</v>
      </c>
    </row>
    <row r="6" spans="1:15">
      <c r="B6" s="1" t="s">
        <v>0</v>
      </c>
      <c r="D6" s="1" t="s">
        <v>0</v>
      </c>
      <c r="F6" s="1" t="s">
        <v>0</v>
      </c>
      <c r="H6" s="1" t="s">
        <v>0</v>
      </c>
      <c r="J6" s="1" t="s">
        <v>0</v>
      </c>
      <c r="L6" s="1" t="s">
        <v>0</v>
      </c>
      <c r="M6" s="1" t="s">
        <v>61</v>
      </c>
      <c r="N6" s="1" t="s">
        <v>62</v>
      </c>
      <c r="O6" s="1" t="s">
        <v>13</v>
      </c>
    </row>
    <row r="7" spans="1:15">
      <c r="B7" s="1" t="s">
        <v>0</v>
      </c>
      <c r="D7" s="1" t="s">
        <v>0</v>
      </c>
      <c r="F7" s="1" t="s">
        <v>0</v>
      </c>
      <c r="H7" s="1" t="s">
        <v>0</v>
      </c>
      <c r="J7" s="1" t="s">
        <v>0</v>
      </c>
      <c r="L7" s="1" t="s">
        <v>0</v>
      </c>
      <c r="M7" s="1" t="s">
        <v>63</v>
      </c>
      <c r="N7" s="1" t="s">
        <v>64</v>
      </c>
      <c r="O7" s="1" t="s">
        <v>13</v>
      </c>
    </row>
    <row r="8" spans="1:15">
      <c r="B8" s="1" t="s">
        <v>0</v>
      </c>
      <c r="D8" s="1" t="s">
        <v>0</v>
      </c>
      <c r="F8" s="1" t="s">
        <v>0</v>
      </c>
      <c r="H8" s="1" t="s">
        <v>0</v>
      </c>
      <c r="J8" s="1" t="s">
        <v>0</v>
      </c>
      <c r="L8" s="1" t="s">
        <v>0</v>
      </c>
      <c r="M8" s="1" t="s">
        <v>65</v>
      </c>
      <c r="N8" s="1" t="s">
        <v>66</v>
      </c>
      <c r="O8" s="1" t="s">
        <v>13</v>
      </c>
    </row>
    <row r="9" spans="1:15">
      <c r="B9" s="1" t="s">
        <v>0</v>
      </c>
      <c r="D9" s="1" t="s">
        <v>0</v>
      </c>
      <c r="F9" s="1" t="s">
        <v>0</v>
      </c>
      <c r="H9" s="1" t="s">
        <v>0</v>
      </c>
      <c r="J9" s="1" t="s">
        <v>0</v>
      </c>
      <c r="L9" s="1" t="s">
        <v>0</v>
      </c>
      <c r="M9" s="1" t="s">
        <v>67</v>
      </c>
      <c r="N9" s="1" t="s">
        <v>68</v>
      </c>
      <c r="O9" s="1" t="s">
        <v>13</v>
      </c>
    </row>
    <row r="10" spans="1:15">
      <c r="B10" s="1" t="s">
        <v>0</v>
      </c>
      <c r="D10" s="1" t="s">
        <v>0</v>
      </c>
      <c r="F10" s="1" t="s">
        <v>0</v>
      </c>
      <c r="H10" s="1" t="s">
        <v>0</v>
      </c>
      <c r="J10" s="1" t="s">
        <v>0</v>
      </c>
      <c r="L10" s="1" t="s">
        <v>0</v>
      </c>
      <c r="M10" s="1" t="s">
        <v>69</v>
      </c>
      <c r="N10" s="1" t="s">
        <v>70</v>
      </c>
      <c r="O10" s="1" t="s">
        <v>13</v>
      </c>
    </row>
    <row r="11" spans="1:15">
      <c r="B11" s="1" t="s">
        <v>0</v>
      </c>
      <c r="D11" s="1" t="s">
        <v>0</v>
      </c>
      <c r="F11" s="1" t="s">
        <v>0</v>
      </c>
      <c r="H11" s="1" t="s">
        <v>0</v>
      </c>
      <c r="J11" s="1" t="s">
        <v>0</v>
      </c>
      <c r="L11" s="1" t="s">
        <v>0</v>
      </c>
      <c r="M11" s="1" t="s">
        <v>71</v>
      </c>
      <c r="N11" s="1" t="s">
        <v>72</v>
      </c>
      <c r="O11" s="1" t="s">
        <v>13</v>
      </c>
    </row>
    <row r="12" spans="1:15">
      <c r="B12" s="1" t="s">
        <v>0</v>
      </c>
      <c r="D12" s="1" t="s">
        <v>0</v>
      </c>
      <c r="F12" s="1" t="s">
        <v>0</v>
      </c>
      <c r="H12" s="1" t="s">
        <v>0</v>
      </c>
      <c r="J12" s="1" t="s">
        <v>0</v>
      </c>
      <c r="L12" s="1" t="s">
        <v>0</v>
      </c>
      <c r="M12" s="1" t="s">
        <v>73</v>
      </c>
      <c r="N12" s="1" t="s">
        <v>74</v>
      </c>
      <c r="O12" s="1" t="s">
        <v>13</v>
      </c>
    </row>
    <row r="13" spans="1:15">
      <c r="B13" s="1" t="s">
        <v>0</v>
      </c>
      <c r="D13" s="1" t="s">
        <v>0</v>
      </c>
      <c r="F13" s="1" t="s">
        <v>0</v>
      </c>
      <c r="H13" s="1" t="s">
        <v>0</v>
      </c>
      <c r="J13" s="1" t="s">
        <v>0</v>
      </c>
      <c r="L13" s="1" t="s">
        <v>0</v>
      </c>
      <c r="M13" s="1" t="s">
        <v>75</v>
      </c>
      <c r="N13" s="1" t="s">
        <v>76</v>
      </c>
      <c r="O13" s="1" t="s">
        <v>13</v>
      </c>
    </row>
    <row r="14" spans="1:15">
      <c r="A14" s="1" t="s">
        <v>18</v>
      </c>
      <c r="B14" s="1" t="s">
        <v>0</v>
      </c>
      <c r="C14" s="1" t="s">
        <v>19</v>
      </c>
      <c r="D14" s="1" t="s">
        <v>0</v>
      </c>
      <c r="E14" s="1" t="s">
        <v>56</v>
      </c>
      <c r="F14" s="1" t="s">
        <v>0</v>
      </c>
      <c r="G14" s="1">
        <v>56.397199999999998</v>
      </c>
      <c r="H14" s="1" t="s">
        <v>0</v>
      </c>
      <c r="I14" s="1">
        <v>56.03</v>
      </c>
      <c r="J14" s="1" t="s">
        <v>0</v>
      </c>
      <c r="K14" s="1">
        <v>0.37</v>
      </c>
      <c r="L14" s="1" t="s">
        <v>0</v>
      </c>
      <c r="M14" s="1" t="s">
        <v>77</v>
      </c>
      <c r="N14" s="1" t="s">
        <v>76</v>
      </c>
      <c r="O14" s="1" t="s">
        <v>13</v>
      </c>
    </row>
    <row r="15" spans="1:15">
      <c r="B15" s="1" t="s">
        <v>0</v>
      </c>
      <c r="C15" s="1" t="s">
        <v>20</v>
      </c>
      <c r="D15" s="1" t="s">
        <v>0</v>
      </c>
      <c r="E15" s="1" t="s">
        <v>56</v>
      </c>
      <c r="F15" s="1" t="s">
        <v>0</v>
      </c>
      <c r="G15" s="1">
        <v>58.96763</v>
      </c>
      <c r="H15" s="1" t="s">
        <v>0</v>
      </c>
      <c r="I15" s="1">
        <v>58.6</v>
      </c>
      <c r="J15" s="1" t="s">
        <v>0</v>
      </c>
      <c r="K15" s="1">
        <v>0.37</v>
      </c>
      <c r="L15" s="1" t="s">
        <v>0</v>
      </c>
      <c r="O15" s="1" t="s">
        <v>13</v>
      </c>
    </row>
    <row r="16" spans="1:15">
      <c r="B16" s="1" t="s">
        <v>0</v>
      </c>
      <c r="D16" s="1" t="s">
        <v>0</v>
      </c>
      <c r="E16" s="1" t="s">
        <v>78</v>
      </c>
      <c r="F16" s="1" t="s">
        <v>0</v>
      </c>
      <c r="G16" s="1">
        <v>9.6300899999999992</v>
      </c>
      <c r="H16" s="1" t="s">
        <v>0</v>
      </c>
      <c r="I16" s="1">
        <v>9.5399999999999991</v>
      </c>
      <c r="J16" s="1" t="s">
        <v>0</v>
      </c>
      <c r="K16" s="1">
        <v>0.09</v>
      </c>
      <c r="L16" s="1" t="s">
        <v>0</v>
      </c>
      <c r="O16" s="1" t="s">
        <v>13</v>
      </c>
    </row>
    <row r="17" spans="1:15">
      <c r="B17" s="1" t="s">
        <v>0</v>
      </c>
      <c r="C17" s="1" t="s">
        <v>21</v>
      </c>
      <c r="D17" s="1" t="s">
        <v>0</v>
      </c>
      <c r="E17" s="1" t="s">
        <v>56</v>
      </c>
      <c r="F17" s="1" t="s">
        <v>0</v>
      </c>
      <c r="G17" s="1">
        <v>89.036299999999997</v>
      </c>
      <c r="H17" s="1" t="s">
        <v>0</v>
      </c>
      <c r="I17" s="1">
        <v>88.79</v>
      </c>
      <c r="J17" s="1" t="s">
        <v>0</v>
      </c>
      <c r="K17" s="1">
        <v>0.24</v>
      </c>
      <c r="L17" s="1" t="s">
        <v>0</v>
      </c>
      <c r="O17" s="1" t="s">
        <v>13</v>
      </c>
    </row>
    <row r="18" spans="1:15">
      <c r="B18" s="1" t="s">
        <v>0</v>
      </c>
      <c r="D18" s="1" t="s">
        <v>0</v>
      </c>
      <c r="E18" s="1" t="s">
        <v>78</v>
      </c>
      <c r="F18" s="1" t="s">
        <v>0</v>
      </c>
      <c r="G18" s="1">
        <v>-29.352</v>
      </c>
      <c r="H18" s="1" t="s">
        <v>0</v>
      </c>
      <c r="I18" s="1">
        <v>-29.24</v>
      </c>
      <c r="J18" s="1" t="s">
        <v>0</v>
      </c>
      <c r="K18" s="1">
        <v>0.11</v>
      </c>
      <c r="L18" s="1" t="s">
        <v>0</v>
      </c>
      <c r="O18" s="1" t="s">
        <v>118</v>
      </c>
    </row>
    <row r="19" spans="1:15">
      <c r="A19" s="1" t="s">
        <v>79</v>
      </c>
      <c r="D19" s="1" t="s">
        <v>0</v>
      </c>
      <c r="E19" s="1" t="s">
        <v>80</v>
      </c>
      <c r="F19" s="1" t="s">
        <v>0</v>
      </c>
      <c r="G19" s="1">
        <v>20.872139999999995</v>
      </c>
      <c r="H19" s="1" t="s">
        <v>0</v>
      </c>
      <c r="I19" s="1">
        <v>20.75</v>
      </c>
      <c r="J19" s="1" t="s">
        <v>0</v>
      </c>
      <c r="K19" s="1">
        <v>0.45</v>
      </c>
      <c r="L19" s="1" t="s">
        <v>0</v>
      </c>
      <c r="M19" s="1" t="s">
        <v>81</v>
      </c>
      <c r="N19" s="1" t="s">
        <v>76</v>
      </c>
      <c r="O19" s="1" t="s">
        <v>119</v>
      </c>
    </row>
    <row r="20" spans="1:15">
      <c r="A20" s="1" t="s">
        <v>42</v>
      </c>
      <c r="B20" s="1" t="s">
        <v>0</v>
      </c>
      <c r="D20" s="1" t="s">
        <v>0</v>
      </c>
      <c r="F20" s="1" t="s">
        <v>0</v>
      </c>
      <c r="H20" s="1" t="s">
        <v>0</v>
      </c>
      <c r="J20" s="1" t="s">
        <v>0</v>
      </c>
      <c r="L20" s="1" t="s">
        <v>0</v>
      </c>
      <c r="O20" s="1" t="s">
        <v>100</v>
      </c>
    </row>
    <row r="21" spans="1:15">
      <c r="A21" s="1" t="s">
        <v>82</v>
      </c>
      <c r="B21" s="1" t="s">
        <v>0</v>
      </c>
      <c r="C21" s="1" t="s">
        <v>15</v>
      </c>
      <c r="D21" s="1" t="s">
        <v>0</v>
      </c>
      <c r="E21" s="1" t="s">
        <v>56</v>
      </c>
      <c r="F21" s="1" t="s">
        <v>0</v>
      </c>
      <c r="G21" s="1">
        <v>28.46</v>
      </c>
      <c r="H21" s="1" t="s">
        <v>0</v>
      </c>
      <c r="I21" s="1">
        <v>27.99</v>
      </c>
      <c r="J21" s="1" t="s">
        <v>0</v>
      </c>
      <c r="K21" s="1">
        <v>0.47</v>
      </c>
      <c r="L21" s="1" t="s">
        <v>0</v>
      </c>
      <c r="M21" s="1" t="s">
        <v>83</v>
      </c>
      <c r="N21" s="1" t="s">
        <v>84</v>
      </c>
      <c r="O21" s="1" t="s">
        <v>13</v>
      </c>
    </row>
    <row r="22" spans="1:15">
      <c r="B22" s="1" t="s">
        <v>0</v>
      </c>
      <c r="D22" s="1" t="s">
        <v>0</v>
      </c>
      <c r="F22" s="1" t="s">
        <v>0</v>
      </c>
      <c r="H22" s="1" t="s">
        <v>0</v>
      </c>
      <c r="J22" s="1" t="s">
        <v>0</v>
      </c>
      <c r="L22" s="1" t="s">
        <v>0</v>
      </c>
      <c r="M22" s="1" t="s">
        <v>85</v>
      </c>
      <c r="N22" s="1" t="s">
        <v>62</v>
      </c>
      <c r="O22" s="1" t="s">
        <v>13</v>
      </c>
    </row>
    <row r="23" spans="1:15">
      <c r="B23" s="1" t="s">
        <v>0</v>
      </c>
      <c r="D23" s="1" t="s">
        <v>0</v>
      </c>
      <c r="F23" s="1" t="s">
        <v>0</v>
      </c>
      <c r="H23" s="1" t="s">
        <v>0</v>
      </c>
      <c r="J23" s="1" t="s">
        <v>0</v>
      </c>
      <c r="L23" s="1" t="s">
        <v>0</v>
      </c>
      <c r="M23" s="1" t="s">
        <v>86</v>
      </c>
      <c r="N23" s="1" t="s">
        <v>68</v>
      </c>
      <c r="O23" s="1" t="s">
        <v>13</v>
      </c>
    </row>
    <row r="24" spans="1:15">
      <c r="B24" s="1" t="s">
        <v>0</v>
      </c>
      <c r="D24" s="1" t="s">
        <v>0</v>
      </c>
      <c r="F24" s="1" t="s">
        <v>0</v>
      </c>
      <c r="H24" s="1" t="s">
        <v>0</v>
      </c>
      <c r="J24" s="1" t="s">
        <v>0</v>
      </c>
      <c r="L24" s="1" t="s">
        <v>0</v>
      </c>
      <c r="M24" s="1" t="s">
        <v>87</v>
      </c>
      <c r="N24" s="1" t="s">
        <v>70</v>
      </c>
      <c r="O24" s="1" t="s">
        <v>13</v>
      </c>
    </row>
    <row r="25" spans="1:15">
      <c r="B25" s="1" t="s">
        <v>0</v>
      </c>
      <c r="D25" s="1" t="s">
        <v>0</v>
      </c>
      <c r="F25" s="1" t="s">
        <v>0</v>
      </c>
      <c r="H25" s="1" t="s">
        <v>0</v>
      </c>
      <c r="J25" s="1" t="s">
        <v>0</v>
      </c>
      <c r="L25" s="1" t="s">
        <v>0</v>
      </c>
      <c r="M25" s="1" t="s">
        <v>88</v>
      </c>
      <c r="N25" s="1" t="s">
        <v>89</v>
      </c>
      <c r="O25" s="1" t="s">
        <v>13</v>
      </c>
    </row>
    <row r="26" spans="1:15">
      <c r="B26" s="1" t="s">
        <v>0</v>
      </c>
      <c r="D26" s="1" t="s">
        <v>0</v>
      </c>
      <c r="F26" s="1" t="s">
        <v>0</v>
      </c>
      <c r="H26" s="1" t="s">
        <v>0</v>
      </c>
      <c r="J26" s="1" t="s">
        <v>0</v>
      </c>
      <c r="L26" s="1" t="s">
        <v>0</v>
      </c>
      <c r="M26" s="1" t="s">
        <v>90</v>
      </c>
      <c r="N26" s="1" t="s">
        <v>91</v>
      </c>
      <c r="O26" s="1" t="s">
        <v>13</v>
      </c>
    </row>
    <row r="27" spans="1:15">
      <c r="A27" s="1" t="s">
        <v>92</v>
      </c>
      <c r="B27" s="1" t="s">
        <v>0</v>
      </c>
      <c r="C27" s="1" t="s">
        <v>21</v>
      </c>
      <c r="D27" s="1" t="s">
        <v>0</v>
      </c>
      <c r="E27" s="1" t="s">
        <v>56</v>
      </c>
      <c r="F27" s="1" t="s">
        <v>0</v>
      </c>
      <c r="G27" s="1">
        <v>35.438727999999998</v>
      </c>
      <c r="H27" s="1" t="s">
        <v>0</v>
      </c>
      <c r="I27" s="1">
        <v>34.75</v>
      </c>
      <c r="J27" s="1" t="s">
        <v>0</v>
      </c>
      <c r="K27" s="1">
        <v>0.56000000000000005</v>
      </c>
      <c r="L27" s="1" t="s">
        <v>0</v>
      </c>
      <c r="O27" s="1" t="s">
        <v>13</v>
      </c>
    </row>
    <row r="28" spans="1:15">
      <c r="B28" s="1" t="s">
        <v>0</v>
      </c>
      <c r="D28" s="1" t="s">
        <v>0</v>
      </c>
      <c r="E28" s="1" t="s">
        <v>78</v>
      </c>
      <c r="F28" s="1" t="s">
        <v>0</v>
      </c>
      <c r="G28" s="1">
        <v>-0.75675199999999898</v>
      </c>
      <c r="H28" s="1" t="s">
        <v>0</v>
      </c>
      <c r="I28" s="1">
        <v>-0.77</v>
      </c>
      <c r="J28" s="1" t="s">
        <v>0</v>
      </c>
      <c r="K28" s="1">
        <v>0.15</v>
      </c>
      <c r="L28" s="1" t="s">
        <v>0</v>
      </c>
      <c r="O28" s="1" t="s">
        <v>13</v>
      </c>
    </row>
    <row r="29" spans="1:15">
      <c r="B29" s="1" t="s">
        <v>0</v>
      </c>
      <c r="C29" s="1" t="s">
        <v>32</v>
      </c>
      <c r="D29" s="1" t="s">
        <v>0</v>
      </c>
      <c r="E29" s="1" t="s">
        <v>56</v>
      </c>
      <c r="F29" s="1" t="s">
        <v>0</v>
      </c>
      <c r="G29" s="1">
        <v>37.391035000000002</v>
      </c>
      <c r="H29" s="1" t="s">
        <v>0</v>
      </c>
      <c r="I29" s="1">
        <v>36.549999999999997</v>
      </c>
      <c r="J29" s="1" t="s">
        <v>0</v>
      </c>
      <c r="K29" s="1">
        <v>2.7</v>
      </c>
      <c r="L29" s="1" t="s">
        <v>0</v>
      </c>
      <c r="O29" s="1" t="s">
        <v>13</v>
      </c>
    </row>
    <row r="30" spans="1:15">
      <c r="B30" s="1" t="s">
        <v>0</v>
      </c>
      <c r="D30" s="1" t="s">
        <v>0</v>
      </c>
      <c r="E30" s="1" t="s">
        <v>78</v>
      </c>
      <c r="F30" s="1" t="s">
        <v>0</v>
      </c>
      <c r="G30" s="1">
        <v>-2.1835000000002935E-2</v>
      </c>
      <c r="H30" s="1" t="s">
        <v>0</v>
      </c>
      <c r="I30" s="1">
        <v>-0.3</v>
      </c>
      <c r="J30" s="1" t="s">
        <v>0</v>
      </c>
      <c r="K30" s="1">
        <v>1.93</v>
      </c>
      <c r="L30" s="1" t="s">
        <v>0</v>
      </c>
      <c r="O30" s="1" t="s">
        <v>13</v>
      </c>
    </row>
    <row r="31" spans="1:15">
      <c r="A31" s="1" t="s">
        <v>93</v>
      </c>
      <c r="B31" s="1" t="s">
        <v>0</v>
      </c>
      <c r="C31" s="1" t="s">
        <v>19</v>
      </c>
      <c r="D31" s="1" t="s">
        <v>0</v>
      </c>
      <c r="E31" s="1" t="s">
        <v>56</v>
      </c>
      <c r="F31" s="1" t="s">
        <v>0</v>
      </c>
      <c r="G31" s="1">
        <v>36.889180000000003</v>
      </c>
      <c r="H31" s="1" t="s">
        <v>0</v>
      </c>
      <c r="I31" s="1">
        <v>34.78</v>
      </c>
      <c r="J31" s="1" t="s">
        <v>0</v>
      </c>
      <c r="K31" s="1">
        <v>2.11</v>
      </c>
      <c r="L31" s="1" t="s">
        <v>0</v>
      </c>
      <c r="O31" s="1" t="s">
        <v>13</v>
      </c>
    </row>
    <row r="32" spans="1:15">
      <c r="B32" s="1" t="s">
        <v>0</v>
      </c>
      <c r="C32" s="1" t="s">
        <v>20</v>
      </c>
      <c r="D32" s="1" t="s">
        <v>0</v>
      </c>
      <c r="E32" s="1" t="s">
        <v>56</v>
      </c>
      <c r="F32" s="1" t="s">
        <v>0</v>
      </c>
      <c r="G32" s="1">
        <v>42.969489999999993</v>
      </c>
      <c r="H32" s="1" t="s">
        <v>0</v>
      </c>
      <c r="I32" s="1">
        <v>38.99</v>
      </c>
      <c r="J32" s="1" t="s">
        <v>0</v>
      </c>
      <c r="K32" s="1">
        <v>4.72</v>
      </c>
      <c r="L32" s="1" t="s">
        <v>0</v>
      </c>
      <c r="O32" s="1" t="s">
        <v>13</v>
      </c>
    </row>
    <row r="33" spans="1:15">
      <c r="B33" s="1" t="s">
        <v>0</v>
      </c>
      <c r="D33" s="1" t="s">
        <v>0</v>
      </c>
      <c r="E33" s="1" t="s">
        <v>78</v>
      </c>
      <c r="F33" s="1" t="s">
        <v>0</v>
      </c>
      <c r="G33" s="1">
        <v>1.5347300000000033</v>
      </c>
      <c r="H33" s="1" t="s">
        <v>0</v>
      </c>
      <c r="I33" s="1">
        <v>1.48</v>
      </c>
      <c r="J33" s="1" t="s">
        <v>0</v>
      </c>
      <c r="K33" s="1">
        <v>0.69</v>
      </c>
      <c r="L33" s="1" t="s">
        <v>0</v>
      </c>
      <c r="O33" s="1" t="s">
        <v>118</v>
      </c>
    </row>
    <row r="34" spans="1:15">
      <c r="A34" s="1" t="s">
        <v>79</v>
      </c>
      <c r="D34" s="1" t="s">
        <v>0</v>
      </c>
      <c r="E34" s="1" t="s">
        <v>80</v>
      </c>
      <c r="F34" s="1" t="s">
        <v>0</v>
      </c>
      <c r="G34" s="1">
        <v>8.4291800000000023</v>
      </c>
      <c r="H34" s="1" t="s">
        <v>0</v>
      </c>
      <c r="I34" s="1">
        <v>6.79</v>
      </c>
      <c r="J34" s="1" t="s">
        <v>0</v>
      </c>
      <c r="K34" s="1">
        <v>2.16</v>
      </c>
      <c r="L34" s="1" t="s">
        <v>0</v>
      </c>
      <c r="O34" s="1" t="s">
        <v>141</v>
      </c>
    </row>
  </sheetData>
  <mergeCells count="2">
    <mergeCell ref="G1:K1"/>
    <mergeCell ref="A2:C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4E29-4492-4F08-BCDE-66F57861537D}">
  <dimension ref="A1:W15"/>
  <sheetViews>
    <sheetView topLeftCell="C1" zoomScale="140" zoomScaleNormal="140" workbookViewId="0">
      <selection activeCell="G16" sqref="G16"/>
    </sheetView>
  </sheetViews>
  <sheetFormatPr baseColWidth="10" defaultColWidth="8.83203125" defaultRowHeight="15"/>
  <cols>
    <col min="1" max="1" width="8.83203125" style="3"/>
    <col min="2" max="2" width="3.33203125" style="3" bestFit="1" customWidth="1"/>
    <col min="3" max="3" width="15.33203125" style="3" bestFit="1" customWidth="1"/>
    <col min="4" max="4" width="3.33203125" style="3" bestFit="1" customWidth="1"/>
    <col min="5" max="5" width="11.83203125" style="3" bestFit="1" customWidth="1"/>
    <col min="6" max="6" width="3.33203125" style="3" bestFit="1" customWidth="1"/>
    <col min="7" max="7" width="11.83203125" style="3" bestFit="1" customWidth="1"/>
    <col min="8" max="8" width="3.33203125" style="3" bestFit="1" customWidth="1"/>
    <col min="9" max="9" width="11.83203125" style="3" bestFit="1" customWidth="1"/>
    <col min="10" max="10" width="3.33203125" style="3" bestFit="1" customWidth="1"/>
    <col min="11" max="11" width="12.1640625" style="3" bestFit="1" customWidth="1"/>
    <col min="12" max="12" width="42.83203125" style="3" bestFit="1" customWidth="1"/>
    <col min="13" max="16384" width="8.83203125" style="3"/>
  </cols>
  <sheetData>
    <row r="1" spans="1:23">
      <c r="B1" s="2" t="s">
        <v>0</v>
      </c>
      <c r="C1" s="2"/>
      <c r="D1" s="2" t="s">
        <v>0</v>
      </c>
      <c r="E1" s="2" t="s">
        <v>5</v>
      </c>
      <c r="F1" s="2" t="s">
        <v>0</v>
      </c>
      <c r="G1" s="2" t="s">
        <v>6</v>
      </c>
      <c r="H1" s="2" t="s">
        <v>0</v>
      </c>
      <c r="I1" s="2" t="s">
        <v>7</v>
      </c>
      <c r="J1" s="2" t="s">
        <v>0</v>
      </c>
      <c r="K1" s="2" t="s">
        <v>8</v>
      </c>
      <c r="L1" s="4" t="s">
        <v>123</v>
      </c>
      <c r="M1" s="2"/>
      <c r="N1" s="2"/>
      <c r="O1" s="2"/>
      <c r="P1" s="2"/>
      <c r="Q1" s="2"/>
      <c r="R1" s="2"/>
      <c r="S1" s="2"/>
      <c r="T1" s="2"/>
      <c r="U1" s="2"/>
      <c r="V1" s="2"/>
      <c r="W1" s="4"/>
    </row>
    <row r="2" spans="1:23">
      <c r="A2" s="3" t="s">
        <v>98</v>
      </c>
      <c r="B2" s="2" t="s">
        <v>0</v>
      </c>
      <c r="C2" s="2" t="s">
        <v>136</v>
      </c>
      <c r="D2" s="2" t="s">
        <v>0</v>
      </c>
      <c r="E2" s="2">
        <v>83435</v>
      </c>
      <c r="F2" s="2" t="s">
        <v>0</v>
      </c>
      <c r="G2" s="2">
        <v>84045</v>
      </c>
      <c r="H2" s="2" t="s">
        <v>0</v>
      </c>
      <c r="I2" s="2">
        <v>84324</v>
      </c>
      <c r="J2" s="2" t="s">
        <v>0</v>
      </c>
      <c r="K2" s="2">
        <v>84384</v>
      </c>
      <c r="L2" s="4" t="s">
        <v>94</v>
      </c>
      <c r="M2" s="2"/>
      <c r="N2" s="5"/>
      <c r="O2" s="2"/>
      <c r="P2" s="5"/>
      <c r="Q2" s="2"/>
      <c r="R2" s="6"/>
      <c r="S2" s="2"/>
      <c r="T2" s="5"/>
      <c r="U2" s="2"/>
      <c r="W2" s="4"/>
    </row>
    <row r="3" spans="1:23">
      <c r="B3" s="2" t="s">
        <v>0</v>
      </c>
      <c r="C3" s="2" t="s">
        <v>142</v>
      </c>
      <c r="D3" s="2" t="s">
        <v>0</v>
      </c>
      <c r="E3" s="2">
        <v>195.98497763059277</v>
      </c>
      <c r="F3" s="2" t="s">
        <v>0</v>
      </c>
      <c r="G3" s="2">
        <v>232.44564444619755</v>
      </c>
      <c r="H3" s="2" t="s">
        <v>0</v>
      </c>
      <c r="I3" s="2">
        <v>258.16299098440504</v>
      </c>
      <c r="J3" s="2" t="s">
        <v>0</v>
      </c>
      <c r="K3" s="2">
        <v>223.17694818740711</v>
      </c>
      <c r="L3" s="4" t="s">
        <v>94</v>
      </c>
      <c r="M3" s="2"/>
      <c r="N3" s="5"/>
      <c r="O3" s="2"/>
      <c r="P3" s="5"/>
      <c r="Q3" s="2"/>
      <c r="R3" s="6"/>
      <c r="S3" s="2"/>
      <c r="T3" s="5"/>
      <c r="U3" s="2"/>
      <c r="W3" s="4"/>
    </row>
    <row r="4" spans="1:23">
      <c r="B4" s="2" t="s">
        <v>0</v>
      </c>
      <c r="C4" s="1" t="s">
        <v>137</v>
      </c>
      <c r="D4" s="2" t="s">
        <v>0</v>
      </c>
      <c r="E4" s="5">
        <v>34.478200448669803</v>
      </c>
      <c r="F4" s="2" t="s">
        <v>0</v>
      </c>
      <c r="G4" s="5">
        <v>34.19</v>
      </c>
      <c r="H4" s="2" t="s">
        <v>0</v>
      </c>
      <c r="I4" s="6" t="s">
        <v>95</v>
      </c>
      <c r="J4" s="2" t="s">
        <v>0</v>
      </c>
      <c r="K4" s="5">
        <v>34.089410690958701</v>
      </c>
      <c r="L4" s="4" t="s">
        <v>94</v>
      </c>
      <c r="M4" s="2"/>
      <c r="N4" s="5"/>
      <c r="O4" s="2"/>
      <c r="P4" s="5"/>
      <c r="Q4" s="2"/>
      <c r="R4" s="6"/>
      <c r="S4" s="2"/>
      <c r="T4" s="5"/>
      <c r="U4" s="2"/>
      <c r="W4" s="4"/>
    </row>
    <row r="5" spans="1:23">
      <c r="B5" s="2" t="s">
        <v>0</v>
      </c>
      <c r="C5" s="2" t="s">
        <v>142</v>
      </c>
      <c r="D5" s="2" t="s">
        <v>0</v>
      </c>
      <c r="E5" s="9">
        <v>-0.96242406608645581</v>
      </c>
      <c r="F5" s="9" t="s">
        <v>0</v>
      </c>
      <c r="G5" s="9">
        <v>-1.3350600000000057</v>
      </c>
      <c r="H5" s="9" t="s">
        <v>0</v>
      </c>
      <c r="I5" s="9">
        <v>-1.1899999999999977</v>
      </c>
      <c r="J5" s="9" t="s">
        <v>0</v>
      </c>
      <c r="K5" s="9">
        <v>-1.2394239531980418</v>
      </c>
      <c r="L5" s="4" t="s">
        <v>94</v>
      </c>
      <c r="M5" s="2"/>
      <c r="N5" s="5"/>
      <c r="O5" s="2"/>
      <c r="P5" s="5"/>
      <c r="Q5" s="2"/>
      <c r="R5" s="6"/>
      <c r="S5" s="2"/>
      <c r="T5" s="5"/>
      <c r="U5" s="2"/>
      <c r="W5" s="4"/>
    </row>
    <row r="6" spans="1:23">
      <c r="A6" s="3" t="s">
        <v>99</v>
      </c>
      <c r="B6" s="2" t="s">
        <v>0</v>
      </c>
      <c r="C6" s="2" t="s">
        <v>136</v>
      </c>
      <c r="D6" s="2" t="s">
        <v>0</v>
      </c>
      <c r="E6" s="2">
        <v>95459</v>
      </c>
      <c r="F6" s="2" t="s">
        <v>0</v>
      </c>
      <c r="G6" s="2">
        <v>95844</v>
      </c>
      <c r="H6" s="2" t="s">
        <v>0</v>
      </c>
      <c r="I6" s="2">
        <v>96352</v>
      </c>
      <c r="J6" s="2" t="s">
        <v>0</v>
      </c>
      <c r="K6" s="2">
        <v>96397</v>
      </c>
      <c r="L6" s="4" t="s">
        <v>94</v>
      </c>
      <c r="M6" s="2"/>
      <c r="N6" s="5"/>
      <c r="O6" s="2"/>
      <c r="P6" s="5"/>
      <c r="Q6" s="2"/>
      <c r="R6" s="6"/>
      <c r="S6" s="2"/>
      <c r="U6" s="2"/>
      <c r="W6" s="4"/>
    </row>
    <row r="7" spans="1:23">
      <c r="B7" s="2" t="s">
        <v>0</v>
      </c>
      <c r="C7" s="2" t="s">
        <v>142</v>
      </c>
      <c r="D7" s="2" t="s">
        <v>0</v>
      </c>
      <c r="E7" s="2">
        <v>1118.4544087850954</v>
      </c>
      <c r="F7" s="2" t="s">
        <v>0</v>
      </c>
      <c r="G7" s="2">
        <v>343.33867995320179</v>
      </c>
      <c r="H7" s="2" t="s">
        <v>0</v>
      </c>
      <c r="I7" s="2">
        <v>245.31684363620298</v>
      </c>
      <c r="J7" s="2" t="s">
        <v>0</v>
      </c>
      <c r="K7" s="2">
        <v>246</v>
      </c>
      <c r="L7" s="4" t="s">
        <v>94</v>
      </c>
      <c r="M7" s="2"/>
      <c r="N7" s="5"/>
      <c r="O7" s="2"/>
      <c r="P7" s="5"/>
      <c r="Q7" s="2"/>
      <c r="R7" s="6"/>
      <c r="S7" s="2"/>
      <c r="U7" s="2"/>
      <c r="W7" s="4"/>
    </row>
    <row r="8" spans="1:23">
      <c r="B8" s="2" t="s">
        <v>0</v>
      </c>
      <c r="C8" s="1" t="s">
        <v>137</v>
      </c>
      <c r="D8" s="2" t="s">
        <v>0</v>
      </c>
      <c r="E8" s="5">
        <v>27.674619188921099</v>
      </c>
      <c r="F8" s="2" t="s">
        <v>0</v>
      </c>
      <c r="G8" s="5">
        <v>27.67</v>
      </c>
      <c r="H8" s="2" t="s">
        <v>0</v>
      </c>
      <c r="I8" s="6" t="s">
        <v>96</v>
      </c>
      <c r="J8" s="2" t="s">
        <v>0</v>
      </c>
      <c r="K8" s="6" t="s">
        <v>138</v>
      </c>
      <c r="L8" s="4" t="s">
        <v>94</v>
      </c>
    </row>
    <row r="9" spans="1:23">
      <c r="B9" s="2" t="s">
        <v>0</v>
      </c>
      <c r="C9" s="2" t="s">
        <v>142</v>
      </c>
      <c r="D9" s="2" t="s">
        <v>0</v>
      </c>
      <c r="E9" s="9">
        <v>-2.4075060239979962E-2</v>
      </c>
      <c r="F9" s="9" t="s">
        <v>0</v>
      </c>
      <c r="G9" s="9">
        <v>-0.78999999999999915</v>
      </c>
      <c r="H9" s="9" t="s">
        <v>0</v>
      </c>
      <c r="I9" s="9">
        <v>-2.9999999999997584E-2</v>
      </c>
      <c r="J9" s="9" t="s">
        <v>0</v>
      </c>
      <c r="K9" s="9">
        <v>-4.8701137091519797E-2</v>
      </c>
      <c r="L9" s="4" t="s">
        <v>97</v>
      </c>
    </row>
    <row r="10" spans="1:23">
      <c r="B10" s="2"/>
      <c r="C10" s="2"/>
      <c r="D10" s="2"/>
      <c r="E10" s="5"/>
      <c r="F10" s="2"/>
      <c r="G10" s="7"/>
      <c r="H10" s="2"/>
      <c r="I10" s="7"/>
      <c r="J10" s="2"/>
      <c r="K10" s="5"/>
    </row>
    <row r="11" spans="1:23">
      <c r="B11" s="2"/>
      <c r="C11" s="2"/>
      <c r="D11" s="2"/>
      <c r="E11" s="5"/>
      <c r="F11" s="2"/>
      <c r="G11" s="5"/>
      <c r="H11" s="2"/>
      <c r="I11" s="6"/>
      <c r="J11" s="2"/>
      <c r="K11" s="5"/>
    </row>
    <row r="12" spans="1:23">
      <c r="B12" s="2"/>
      <c r="C12" s="2"/>
      <c r="D12" s="2"/>
      <c r="E12" s="9"/>
      <c r="F12" s="9"/>
      <c r="G12" s="9"/>
      <c r="H12" s="9"/>
      <c r="I12" s="9"/>
      <c r="J12" s="9"/>
      <c r="K12" s="9"/>
    </row>
    <row r="13" spans="1:23">
      <c r="B13" s="2"/>
      <c r="C13" s="2"/>
      <c r="D13" s="2"/>
      <c r="E13" s="5"/>
      <c r="F13" s="2"/>
      <c r="G13" s="7"/>
      <c r="H13" s="2"/>
      <c r="I13" s="7"/>
      <c r="J13" s="2"/>
      <c r="K13" s="5"/>
    </row>
    <row r="14" spans="1:23">
      <c r="B14" s="2"/>
      <c r="C14" s="2"/>
      <c r="D14" s="2"/>
      <c r="E14" s="5"/>
      <c r="F14" s="2"/>
      <c r="G14" s="5"/>
      <c r="H14" s="2"/>
      <c r="I14" s="6"/>
      <c r="J14" s="2"/>
    </row>
    <row r="15" spans="1:23">
      <c r="B15" s="2"/>
      <c r="C15" s="2"/>
      <c r="D15" s="2"/>
      <c r="E15" s="9"/>
      <c r="F15" s="9"/>
      <c r="G15" s="9"/>
      <c r="H15" s="9"/>
      <c r="I15" s="9"/>
      <c r="J15" s="9"/>
      <c r="K15" s="9"/>
    </row>
  </sheetData>
  <phoneticPr fontId="1" type="noConversion"/>
  <hyperlinks>
    <hyperlink ref="L9" r:id="rId1" xr:uid="{8DCA3418-AA40-F74C-B4D3-9AC4EFAD1F81}"/>
  </hyperlink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5411-523E-6C48-B78D-D6FA397A5C7C}">
  <dimension ref="A1:N9"/>
  <sheetViews>
    <sheetView workbookViewId="0">
      <selection activeCell="N2" sqref="N2"/>
    </sheetView>
  </sheetViews>
  <sheetFormatPr baseColWidth="10" defaultRowHeight="15"/>
  <sheetData>
    <row r="1" spans="1:14">
      <c r="A1" s="2"/>
      <c r="B1" s="2" t="s">
        <v>0</v>
      </c>
      <c r="C1" s="2"/>
      <c r="D1" s="2" t="s">
        <v>0</v>
      </c>
      <c r="E1" s="23" t="s">
        <v>252</v>
      </c>
      <c r="F1" s="23"/>
      <c r="G1" s="23"/>
      <c r="H1" s="23"/>
      <c r="I1" s="23"/>
      <c r="J1" s="23"/>
      <c r="K1" s="23"/>
      <c r="L1" s="2"/>
      <c r="M1" s="19"/>
      <c r="N1" s="20" t="s">
        <v>253</v>
      </c>
    </row>
    <row r="2" spans="1:14">
      <c r="A2" s="17" t="s">
        <v>139</v>
      </c>
      <c r="B2" s="17"/>
      <c r="C2" s="17"/>
      <c r="D2" s="2" t="s">
        <v>0</v>
      </c>
      <c r="E2" s="2" t="s">
        <v>143</v>
      </c>
      <c r="F2" s="2" t="s">
        <v>0</v>
      </c>
      <c r="G2" s="2" t="s">
        <v>144</v>
      </c>
      <c r="H2" s="2" t="s">
        <v>0</v>
      </c>
      <c r="I2" s="2" t="s">
        <v>145</v>
      </c>
      <c r="J2" s="2" t="s">
        <v>0</v>
      </c>
      <c r="K2" s="2" t="s">
        <v>146</v>
      </c>
      <c r="L2" s="2" t="s">
        <v>0</v>
      </c>
      <c r="M2" s="19" t="s">
        <v>147</v>
      </c>
      <c r="N2" s="21" t="s">
        <v>148</v>
      </c>
    </row>
    <row r="3" spans="1:14">
      <c r="A3" s="2" t="s">
        <v>14</v>
      </c>
      <c r="B3" s="2" t="s">
        <v>0</v>
      </c>
      <c r="C3" s="2" t="s">
        <v>15</v>
      </c>
      <c r="D3" s="2" t="s">
        <v>0</v>
      </c>
      <c r="E3" s="2">
        <v>0</v>
      </c>
      <c r="F3" s="2" t="s">
        <v>0</v>
      </c>
      <c r="G3" s="2">
        <v>0</v>
      </c>
      <c r="H3" s="2" t="s">
        <v>0</v>
      </c>
      <c r="I3" s="2">
        <v>0</v>
      </c>
      <c r="J3" s="2" t="s">
        <v>0</v>
      </c>
      <c r="K3" s="2">
        <v>0</v>
      </c>
      <c r="L3" s="2" t="s">
        <v>0</v>
      </c>
      <c r="M3" s="19" t="s">
        <v>149</v>
      </c>
      <c r="N3" s="21" t="s">
        <v>13</v>
      </c>
    </row>
    <row r="4" spans="1:14">
      <c r="A4" s="2" t="s">
        <v>18</v>
      </c>
      <c r="B4" s="2" t="s">
        <v>0</v>
      </c>
      <c r="C4" s="2" t="s">
        <v>19</v>
      </c>
      <c r="D4" s="2" t="s">
        <v>0</v>
      </c>
      <c r="E4" s="2">
        <v>37343</v>
      </c>
      <c r="F4" s="2" t="s">
        <v>0</v>
      </c>
      <c r="G4" s="2">
        <v>37363</v>
      </c>
      <c r="H4" s="2" t="s">
        <v>0</v>
      </c>
      <c r="I4" s="2">
        <v>37329</v>
      </c>
      <c r="J4" s="2" t="s">
        <v>0</v>
      </c>
      <c r="K4" s="2">
        <v>37315</v>
      </c>
      <c r="L4" s="2" t="s">
        <v>0</v>
      </c>
      <c r="M4" s="19" t="s">
        <v>150</v>
      </c>
      <c r="N4" s="21" t="s">
        <v>13</v>
      </c>
    </row>
    <row r="5" spans="1:14">
      <c r="A5" s="2"/>
      <c r="B5" s="2" t="s">
        <v>0</v>
      </c>
      <c r="C5" s="2" t="s">
        <v>20</v>
      </c>
      <c r="D5" s="2" t="s">
        <v>0</v>
      </c>
      <c r="E5" s="2">
        <v>39071</v>
      </c>
      <c r="F5" s="2" t="s">
        <v>0</v>
      </c>
      <c r="G5" s="2">
        <v>39090</v>
      </c>
      <c r="H5" s="2" t="s">
        <v>0</v>
      </c>
      <c r="I5" s="2">
        <v>39057</v>
      </c>
      <c r="J5" s="2" t="s">
        <v>0</v>
      </c>
      <c r="K5" s="2">
        <v>39044</v>
      </c>
      <c r="L5" s="2" t="s">
        <v>0</v>
      </c>
      <c r="M5" s="19" t="s">
        <v>151</v>
      </c>
      <c r="N5" s="21" t="s">
        <v>13</v>
      </c>
    </row>
    <row r="6" spans="1:14">
      <c r="A6" s="2"/>
      <c r="B6" s="2" t="s">
        <v>0</v>
      </c>
      <c r="C6" s="2" t="s">
        <v>21</v>
      </c>
      <c r="D6" s="2" t="s">
        <v>0</v>
      </c>
      <c r="E6" s="2">
        <v>43294</v>
      </c>
      <c r="F6" s="2" t="s">
        <v>0</v>
      </c>
      <c r="G6" s="2">
        <v>43304</v>
      </c>
      <c r="H6" s="2" t="s">
        <v>0</v>
      </c>
      <c r="I6" s="2">
        <v>43274</v>
      </c>
      <c r="J6" s="2" t="s">
        <v>0</v>
      </c>
      <c r="K6" s="2">
        <v>43262</v>
      </c>
      <c r="L6" s="2" t="s">
        <v>0</v>
      </c>
      <c r="M6" s="19" t="s">
        <v>152</v>
      </c>
      <c r="N6" s="21" t="s">
        <v>13</v>
      </c>
    </row>
    <row r="7" spans="1:14">
      <c r="A7" s="2"/>
      <c r="B7" s="2" t="s">
        <v>0</v>
      </c>
      <c r="C7" s="2" t="s">
        <v>22</v>
      </c>
      <c r="D7" s="2" t="s">
        <v>0</v>
      </c>
      <c r="E7" s="2">
        <v>55374</v>
      </c>
      <c r="F7" s="2" t="s">
        <v>0</v>
      </c>
      <c r="G7" s="2">
        <v>55387</v>
      </c>
      <c r="H7" s="2" t="s">
        <v>0</v>
      </c>
      <c r="I7" s="2">
        <v>55344</v>
      </c>
      <c r="J7" s="2" t="s">
        <v>0</v>
      </c>
      <c r="K7" s="2">
        <v>55333</v>
      </c>
      <c r="L7" s="2" t="s">
        <v>0</v>
      </c>
      <c r="M7" s="19" t="s">
        <v>153</v>
      </c>
      <c r="N7" s="21" t="s">
        <v>13</v>
      </c>
    </row>
    <row r="8" spans="1:14">
      <c r="A8" s="2" t="s">
        <v>25</v>
      </c>
      <c r="B8" s="2" t="s">
        <v>0</v>
      </c>
      <c r="C8" s="2" t="s">
        <v>21</v>
      </c>
      <c r="D8" s="2" t="s">
        <v>0</v>
      </c>
      <c r="E8" s="2">
        <v>67847</v>
      </c>
      <c r="F8" s="2" t="s">
        <v>0</v>
      </c>
      <c r="G8" s="2">
        <v>67376</v>
      </c>
      <c r="H8" s="2" t="s">
        <v>0</v>
      </c>
      <c r="I8" s="2">
        <v>67411</v>
      </c>
      <c r="J8" s="2" t="s">
        <v>0</v>
      </c>
      <c r="K8" s="2">
        <v>67452</v>
      </c>
      <c r="L8" s="2" t="s">
        <v>0</v>
      </c>
      <c r="M8" s="19" t="s">
        <v>154</v>
      </c>
      <c r="N8" s="21" t="s">
        <v>13</v>
      </c>
    </row>
    <row r="9" spans="1:14">
      <c r="A9" s="2" t="s">
        <v>25</v>
      </c>
      <c r="B9" s="2" t="s">
        <v>0</v>
      </c>
      <c r="C9" s="2" t="s">
        <v>27</v>
      </c>
      <c r="D9" s="2" t="s">
        <v>0</v>
      </c>
      <c r="E9" s="2">
        <v>69458</v>
      </c>
      <c r="F9" s="2" t="s">
        <v>0</v>
      </c>
      <c r="G9" s="2">
        <v>68969</v>
      </c>
      <c r="H9" s="2" t="s">
        <v>0</v>
      </c>
      <c r="I9" s="2">
        <v>69002</v>
      </c>
      <c r="J9" s="2" t="s">
        <v>0</v>
      </c>
      <c r="K9" s="2">
        <v>69046</v>
      </c>
      <c r="L9" s="2" t="s">
        <v>0</v>
      </c>
      <c r="M9" s="19" t="s">
        <v>155</v>
      </c>
      <c r="N9" s="21" t="s">
        <v>28</v>
      </c>
    </row>
  </sheetData>
  <mergeCells count="2">
    <mergeCell ref="E1:K1"/>
    <mergeCell ref="A2:C2"/>
  </mergeCells>
  <phoneticPr fontId="1" type="noConversion"/>
  <hyperlinks>
    <hyperlink ref="N1" r:id="rId1" display="/  /cline%7b3-9%7d /cline%7b11-13%7d  /addlinespace%5b0.2cm%5d" xr:uid="{033A1CB1-4FAD-544F-8921-7770C03986C2}"/>
  </hyperlink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08F2-90FE-8C47-A63B-E0594F00E71D}">
  <dimension ref="A1:AC15"/>
  <sheetViews>
    <sheetView topLeftCell="G1" workbookViewId="0">
      <selection sqref="A1:C1"/>
    </sheetView>
  </sheetViews>
  <sheetFormatPr baseColWidth="10" defaultRowHeight="15"/>
  <sheetData>
    <row r="1" spans="1:29">
      <c r="A1" s="17" t="s">
        <v>139</v>
      </c>
      <c r="B1" s="17"/>
      <c r="C1" s="17"/>
      <c r="D1" s="2" t="s">
        <v>0</v>
      </c>
      <c r="E1" s="24" t="s">
        <v>156</v>
      </c>
      <c r="F1" s="2" t="s">
        <v>0</v>
      </c>
      <c r="G1" s="24" t="s">
        <v>157</v>
      </c>
      <c r="H1" s="2" t="s">
        <v>0</v>
      </c>
      <c r="I1" s="24" t="s">
        <v>158</v>
      </c>
      <c r="J1" s="2" t="s">
        <v>0</v>
      </c>
      <c r="K1" s="25" t="s">
        <v>159</v>
      </c>
      <c r="L1" s="2" t="s">
        <v>0</v>
      </c>
      <c r="M1" s="19" t="s">
        <v>160</v>
      </c>
      <c r="N1" s="2" t="s">
        <v>0</v>
      </c>
      <c r="O1" s="24" t="s">
        <v>161</v>
      </c>
      <c r="P1" s="2" t="s">
        <v>0</v>
      </c>
      <c r="Q1" s="2" t="s">
        <v>129</v>
      </c>
      <c r="R1" s="2" t="s">
        <v>0</v>
      </c>
      <c r="S1" s="26" t="s">
        <v>162</v>
      </c>
      <c r="T1" s="2" t="s">
        <v>0</v>
      </c>
      <c r="U1" s="27" t="s">
        <v>163</v>
      </c>
      <c r="V1" s="2" t="s">
        <v>0</v>
      </c>
      <c r="W1" s="2" t="s">
        <v>164</v>
      </c>
      <c r="X1" s="2" t="s">
        <v>0</v>
      </c>
      <c r="Y1" s="2" t="s">
        <v>165</v>
      </c>
      <c r="Z1" s="28" t="s">
        <v>166</v>
      </c>
      <c r="AA1" s="28"/>
      <c r="AB1" s="2"/>
      <c r="AC1" s="2"/>
    </row>
    <row r="2" spans="1:29">
      <c r="A2" s="2" t="s">
        <v>172</v>
      </c>
      <c r="B2" s="2" t="s">
        <v>0</v>
      </c>
      <c r="C2" s="2" t="s">
        <v>171</v>
      </c>
      <c r="D2" s="2" t="s">
        <v>0</v>
      </c>
      <c r="E2" s="24" t="s">
        <v>173</v>
      </c>
      <c r="F2" s="2" t="s">
        <v>0</v>
      </c>
      <c r="G2" s="24" t="s">
        <v>174</v>
      </c>
      <c r="H2" s="2" t="s">
        <v>0</v>
      </c>
      <c r="I2" s="24" t="s">
        <v>175</v>
      </c>
      <c r="J2" s="2" t="s">
        <v>0</v>
      </c>
      <c r="K2" s="24" t="s">
        <v>176</v>
      </c>
      <c r="L2" s="2" t="s">
        <v>0</v>
      </c>
      <c r="M2" s="24" t="s">
        <v>177</v>
      </c>
      <c r="N2" s="2" t="s">
        <v>0</v>
      </c>
      <c r="O2" s="24" t="s">
        <v>178</v>
      </c>
      <c r="P2" s="2" t="s">
        <v>0</v>
      </c>
      <c r="Q2" s="24" t="s">
        <v>179</v>
      </c>
      <c r="R2" s="2" t="s">
        <v>0</v>
      </c>
      <c r="S2" s="24" t="s">
        <v>180</v>
      </c>
      <c r="T2" s="2" t="s">
        <v>0</v>
      </c>
      <c r="U2" s="24" t="s">
        <v>181</v>
      </c>
      <c r="V2" s="2" t="s">
        <v>0</v>
      </c>
      <c r="W2" s="24" t="s">
        <v>182</v>
      </c>
      <c r="X2" s="2" t="s">
        <v>0</v>
      </c>
      <c r="Y2" s="24" t="s">
        <v>183</v>
      </c>
      <c r="Z2" s="28" t="s">
        <v>127</v>
      </c>
      <c r="AA2" s="28"/>
      <c r="AB2" s="2"/>
      <c r="AC2" s="2"/>
    </row>
    <row r="3" spans="1:29">
      <c r="A3" s="2" t="s">
        <v>12</v>
      </c>
      <c r="B3" s="2" t="s">
        <v>0</v>
      </c>
      <c r="C3" s="2"/>
      <c r="D3" s="2" t="s">
        <v>0</v>
      </c>
      <c r="E3" s="24"/>
      <c r="F3" s="2" t="s">
        <v>0</v>
      </c>
      <c r="G3" s="24"/>
      <c r="H3" s="2" t="s">
        <v>0</v>
      </c>
      <c r="I3" s="27"/>
      <c r="J3" s="2" t="s">
        <v>0</v>
      </c>
      <c r="K3" s="25"/>
      <c r="L3" s="2" t="s">
        <v>0</v>
      </c>
      <c r="M3" s="2"/>
      <c r="N3" s="2" t="s">
        <v>0</v>
      </c>
      <c r="O3" s="24"/>
      <c r="P3" s="2" t="s">
        <v>0</v>
      </c>
      <c r="Q3" s="2"/>
      <c r="R3" s="2" t="s">
        <v>0</v>
      </c>
      <c r="S3" s="27"/>
      <c r="T3" s="2" t="s">
        <v>0</v>
      </c>
      <c r="U3" s="27"/>
      <c r="V3" s="2" t="s">
        <v>0</v>
      </c>
      <c r="W3" s="2"/>
      <c r="X3" s="2" t="s">
        <v>0</v>
      </c>
      <c r="Y3" s="2"/>
      <c r="Z3" s="28" t="s">
        <v>100</v>
      </c>
      <c r="AA3" s="28"/>
      <c r="AB3" s="2"/>
      <c r="AC3" s="2"/>
    </row>
    <row r="4" spans="1:29">
      <c r="A4" s="2" t="s">
        <v>14</v>
      </c>
      <c r="B4" s="2" t="s">
        <v>0</v>
      </c>
      <c r="C4" s="2" t="s">
        <v>15</v>
      </c>
      <c r="D4" s="2" t="s">
        <v>0</v>
      </c>
      <c r="E4" s="29">
        <v>86292.482189000002</v>
      </c>
      <c r="F4" s="2" t="s">
        <v>0</v>
      </c>
      <c r="G4" s="30">
        <v>85281.236562000006</v>
      </c>
      <c r="H4" s="2" t="s">
        <v>0</v>
      </c>
      <c r="I4" s="30">
        <v>85281.236554000003</v>
      </c>
      <c r="J4" s="2" t="s">
        <v>0</v>
      </c>
      <c r="K4" s="31">
        <v>86490.627426999999</v>
      </c>
      <c r="L4" s="2" t="s">
        <v>0</v>
      </c>
      <c r="M4" s="2">
        <v>85105</v>
      </c>
      <c r="N4" s="2" t="s">
        <v>0</v>
      </c>
      <c r="O4" s="29">
        <v>85097.012614000007</v>
      </c>
      <c r="P4" s="2" t="s">
        <v>0</v>
      </c>
      <c r="Q4" s="2">
        <f>O4-G4</f>
        <v>-184.22394799999893</v>
      </c>
      <c r="R4" s="2" t="s">
        <v>0</v>
      </c>
      <c r="S4" s="32">
        <v>85365.388309000002</v>
      </c>
      <c r="T4" s="2" t="s">
        <v>0</v>
      </c>
      <c r="U4" s="32">
        <f>S4+Q4</f>
        <v>85181.164361000003</v>
      </c>
      <c r="V4" s="2" t="s">
        <v>0</v>
      </c>
      <c r="W4" s="29">
        <f>K4-G4</f>
        <v>1209.3908649999939</v>
      </c>
      <c r="X4" s="2" t="s">
        <v>0</v>
      </c>
      <c r="Y4" s="29">
        <f>M4-G4</f>
        <v>-176.23656200000551</v>
      </c>
      <c r="Z4" s="28" t="s">
        <v>100</v>
      </c>
      <c r="AA4" s="28">
        <f>(W4*W4+Y4*Y4)^0.5</f>
        <v>1222.164305701576</v>
      </c>
      <c r="AB4" s="19" t="s">
        <v>16</v>
      </c>
      <c r="AC4" s="2"/>
    </row>
    <row r="5" spans="1:29">
      <c r="A5" s="2" t="s">
        <v>17</v>
      </c>
      <c r="B5" s="2" t="s">
        <v>0</v>
      </c>
      <c r="C5" s="2"/>
      <c r="D5" s="2" t="s">
        <v>0</v>
      </c>
      <c r="E5" s="24"/>
      <c r="F5" s="2" t="s">
        <v>0</v>
      </c>
      <c r="G5" s="24"/>
      <c r="H5" s="2" t="s">
        <v>0</v>
      </c>
      <c r="I5" s="27"/>
      <c r="J5" s="2" t="s">
        <v>0</v>
      </c>
      <c r="K5" s="25"/>
      <c r="L5" s="2" t="s">
        <v>0</v>
      </c>
      <c r="M5" s="2"/>
      <c r="N5" s="2" t="s">
        <v>0</v>
      </c>
      <c r="O5" s="24"/>
      <c r="P5" s="2" t="s">
        <v>0</v>
      </c>
      <c r="Q5" s="2"/>
      <c r="R5" s="2" t="s">
        <v>0</v>
      </c>
      <c r="S5" s="27"/>
      <c r="T5" s="2" t="s">
        <v>0</v>
      </c>
      <c r="U5" s="27"/>
      <c r="V5" s="2" t="s">
        <v>0</v>
      </c>
      <c r="W5" s="2"/>
      <c r="X5" s="2" t="s">
        <v>0</v>
      </c>
      <c r="Y5" s="29"/>
      <c r="Z5" s="28" t="s">
        <v>100</v>
      </c>
      <c r="AA5" s="28">
        <f t="shared" ref="AA5:AA15" si="0">(W5*W5+Y5*Y5)^0.5</f>
        <v>0</v>
      </c>
      <c r="AB5" s="19"/>
      <c r="AC5" s="2"/>
    </row>
    <row r="6" spans="1:29">
      <c r="A6" s="2" t="s">
        <v>18</v>
      </c>
      <c r="B6" s="2" t="s">
        <v>0</v>
      </c>
      <c r="C6" s="2" t="s">
        <v>19</v>
      </c>
      <c r="D6" s="2" t="s">
        <v>0</v>
      </c>
      <c r="E6" s="29">
        <v>39611</v>
      </c>
      <c r="F6" s="2" t="s">
        <v>0</v>
      </c>
      <c r="G6" s="30">
        <v>37857.254618159997</v>
      </c>
      <c r="H6" s="2" t="s">
        <v>0</v>
      </c>
      <c r="I6" s="30">
        <v>37857.254618159997</v>
      </c>
      <c r="J6" s="2" t="s">
        <v>0</v>
      </c>
      <c r="K6" s="31">
        <v>38695</v>
      </c>
      <c r="L6" s="2" t="s">
        <v>0</v>
      </c>
      <c r="M6" s="2">
        <v>37842</v>
      </c>
      <c r="N6" s="2" t="s">
        <v>0</v>
      </c>
      <c r="O6" s="29">
        <v>37664.497188180001</v>
      </c>
      <c r="P6" s="2" t="s">
        <v>0</v>
      </c>
      <c r="Q6" s="2">
        <f t="shared" ref="Q6:Q15" si="1">O6-G6</f>
        <v>-192.75742997999623</v>
      </c>
      <c r="R6" s="2" t="s">
        <v>0</v>
      </c>
      <c r="S6" s="32">
        <v>37334.305139399999</v>
      </c>
      <c r="T6" s="2" t="s">
        <v>0</v>
      </c>
      <c r="U6" s="32">
        <f>S6+Q6</f>
        <v>37141.547709420003</v>
      </c>
      <c r="V6" s="2" t="s">
        <v>0</v>
      </c>
      <c r="W6" s="29">
        <f t="shared" ref="W6:W15" si="2">K6-G6</f>
        <v>837.74538184000266</v>
      </c>
      <c r="X6" s="2" t="s">
        <v>0</v>
      </c>
      <c r="Y6" s="29">
        <f t="shared" ref="Y6:Y15" si="3">M6-G6</f>
        <v>-15.254618159997335</v>
      </c>
      <c r="Z6" s="28" t="s">
        <v>13</v>
      </c>
      <c r="AA6" s="28">
        <f t="shared" si="0"/>
        <v>837.8842570244766</v>
      </c>
      <c r="AB6" s="19">
        <v>37644.982000000004</v>
      </c>
      <c r="AC6" s="2">
        <f t="shared" ref="AC6:AC15" si="4">W6*100/AB6</f>
        <v>2.2253839352081575</v>
      </c>
    </row>
    <row r="7" spans="1:29">
      <c r="A7" s="2"/>
      <c r="B7" s="2" t="s">
        <v>0</v>
      </c>
      <c r="C7" s="2" t="s">
        <v>20</v>
      </c>
      <c r="D7" s="2" t="s">
        <v>0</v>
      </c>
      <c r="E7" s="29">
        <v>41404</v>
      </c>
      <c r="F7" s="2" t="s">
        <v>0</v>
      </c>
      <c r="G7" s="30">
        <v>39714.623574839999</v>
      </c>
      <c r="H7" s="2" t="s">
        <v>0</v>
      </c>
      <c r="I7" s="30">
        <v>39714.623574839999</v>
      </c>
      <c r="J7" s="2" t="s">
        <v>0</v>
      </c>
      <c r="K7" s="31">
        <v>40558</v>
      </c>
      <c r="L7" s="2" t="s">
        <v>0</v>
      </c>
      <c r="M7" s="2">
        <v>39697</v>
      </c>
      <c r="N7" s="2" t="s">
        <v>0</v>
      </c>
      <c r="O7" s="29">
        <v>39523.301504820003</v>
      </c>
      <c r="P7" s="2" t="s">
        <v>0</v>
      </c>
      <c r="Q7" s="2">
        <f t="shared" si="1"/>
        <v>-191.32207001999632</v>
      </c>
      <c r="R7" s="2" t="s">
        <v>0</v>
      </c>
      <c r="S7" s="32">
        <v>39580.0070022</v>
      </c>
      <c r="T7" s="2" t="s">
        <v>0</v>
      </c>
      <c r="U7" s="32">
        <f>S7+Q7</f>
        <v>39388.684932180004</v>
      </c>
      <c r="V7" s="2" t="s">
        <v>0</v>
      </c>
      <c r="W7" s="29">
        <f t="shared" si="2"/>
        <v>843.37642516000051</v>
      </c>
      <c r="X7" s="2" t="s">
        <v>0</v>
      </c>
      <c r="Y7" s="29">
        <f t="shared" si="3"/>
        <v>-17.623574839999492</v>
      </c>
      <c r="Z7" s="28" t="s">
        <v>13</v>
      </c>
      <c r="AA7" s="28">
        <f t="shared" si="0"/>
        <v>843.56054015453026</v>
      </c>
      <c r="AB7" s="19">
        <v>39412.237000000001</v>
      </c>
      <c r="AC7" s="2">
        <f t="shared" si="4"/>
        <v>2.1398846890116907</v>
      </c>
    </row>
    <row r="8" spans="1:29">
      <c r="A8" s="2"/>
      <c r="B8" s="2" t="s">
        <v>0</v>
      </c>
      <c r="C8" s="2" t="s">
        <v>21</v>
      </c>
      <c r="D8" s="2" t="s">
        <v>0</v>
      </c>
      <c r="E8" s="29">
        <v>46174</v>
      </c>
      <c r="F8" s="2" t="s">
        <v>0</v>
      </c>
      <c r="G8" s="30">
        <v>44672.154960599997</v>
      </c>
      <c r="H8" s="2" t="s">
        <v>0</v>
      </c>
      <c r="I8" s="30">
        <v>44672.154960599997</v>
      </c>
      <c r="J8" s="2" t="s">
        <v>0</v>
      </c>
      <c r="K8" s="31">
        <v>45496</v>
      </c>
      <c r="L8" s="2" t="s">
        <v>0</v>
      </c>
      <c r="M8" s="2">
        <v>44642</v>
      </c>
      <c r="N8" s="2" t="s">
        <v>0</v>
      </c>
      <c r="O8" s="29">
        <v>44486.969383620002</v>
      </c>
      <c r="P8" s="2" t="s">
        <v>0</v>
      </c>
      <c r="Q8" s="2">
        <f t="shared" si="1"/>
        <v>-185.18557697999495</v>
      </c>
      <c r="R8" s="2" t="s">
        <v>0</v>
      </c>
      <c r="S8" s="32">
        <v>44058.975330959998</v>
      </c>
      <c r="T8" s="2" t="s">
        <v>0</v>
      </c>
      <c r="U8" s="32">
        <f>S8+Q8</f>
        <v>43873.789753980003</v>
      </c>
      <c r="V8" s="2" t="s">
        <v>0</v>
      </c>
      <c r="W8" s="29">
        <f t="shared" si="2"/>
        <v>823.84503940000286</v>
      </c>
      <c r="X8" s="2" t="s">
        <v>0</v>
      </c>
      <c r="Y8" s="29">
        <f t="shared" si="3"/>
        <v>-30.154960599997139</v>
      </c>
      <c r="Z8" s="28" t="s">
        <v>13</v>
      </c>
      <c r="AA8" s="28">
        <f t="shared" si="0"/>
        <v>824.39673130888843</v>
      </c>
      <c r="AB8" s="19">
        <v>44042.909</v>
      </c>
      <c r="AC8" s="2">
        <f t="shared" si="4"/>
        <v>1.8705509197859815</v>
      </c>
    </row>
    <row r="9" spans="1:29">
      <c r="A9" s="2"/>
      <c r="B9" s="2" t="s">
        <v>0</v>
      </c>
      <c r="C9" s="2" t="s">
        <v>22</v>
      </c>
      <c r="D9" s="2" t="s">
        <v>0</v>
      </c>
      <c r="E9" s="29">
        <v>56369</v>
      </c>
      <c r="F9" s="2" t="s">
        <v>0</v>
      </c>
      <c r="G9" s="30">
        <v>54841.895361720002</v>
      </c>
      <c r="H9" s="2" t="s">
        <v>0</v>
      </c>
      <c r="I9" s="30">
        <v>54841.895361720002</v>
      </c>
      <c r="J9" s="2" t="s">
        <v>0</v>
      </c>
      <c r="K9" s="31">
        <v>55858</v>
      </c>
      <c r="L9" s="2" t="s">
        <v>0</v>
      </c>
      <c r="M9" s="2">
        <v>54807</v>
      </c>
      <c r="N9" s="2" t="s">
        <v>0</v>
      </c>
      <c r="O9" s="29">
        <v>54668.319959339999</v>
      </c>
      <c r="P9" s="2" t="s">
        <v>0</v>
      </c>
      <c r="Q9" s="2">
        <f t="shared" si="1"/>
        <v>-173.57540238000365</v>
      </c>
      <c r="R9" s="2" t="s">
        <v>0</v>
      </c>
      <c r="S9" s="32">
        <v>56457.160354259999</v>
      </c>
      <c r="T9" s="2" t="s">
        <v>0</v>
      </c>
      <c r="U9" s="32">
        <f>S9+Q9</f>
        <v>56283.584951879995</v>
      </c>
      <c r="V9" s="2" t="s">
        <v>0</v>
      </c>
      <c r="W9" s="29">
        <f t="shared" si="2"/>
        <v>1016.1046382799977</v>
      </c>
      <c r="X9" s="2" t="s">
        <v>0</v>
      </c>
      <c r="Y9" s="29">
        <f t="shared" si="3"/>
        <v>-34.895361720002256</v>
      </c>
      <c r="Z9" s="28" t="s">
        <v>13</v>
      </c>
      <c r="AA9" s="28">
        <f t="shared" si="0"/>
        <v>1016.7036550557369</v>
      </c>
      <c r="AB9" s="19">
        <v>54068.6829</v>
      </c>
      <c r="AC9" s="2">
        <f t="shared" si="4"/>
        <v>1.8792849830636391</v>
      </c>
    </row>
    <row r="10" spans="1:29">
      <c r="A10" s="2" t="s">
        <v>23</v>
      </c>
      <c r="B10" s="2" t="s">
        <v>0</v>
      </c>
      <c r="C10" s="2" t="s">
        <v>24</v>
      </c>
      <c r="D10" s="2" t="s">
        <v>0</v>
      </c>
      <c r="E10" s="29">
        <v>65552</v>
      </c>
      <c r="F10" s="2" t="s">
        <v>0</v>
      </c>
      <c r="G10" s="30">
        <v>66483.165038039995</v>
      </c>
      <c r="H10" s="2" t="s">
        <v>0</v>
      </c>
      <c r="I10" s="30">
        <v>66483.165038039995</v>
      </c>
      <c r="J10" s="2" t="s">
        <v>0</v>
      </c>
      <c r="K10" s="31">
        <v>65658</v>
      </c>
      <c r="L10" s="2" t="s">
        <v>0</v>
      </c>
      <c r="M10" s="2">
        <v>66367</v>
      </c>
      <c r="N10" s="2" t="s">
        <v>0</v>
      </c>
      <c r="O10" s="29">
        <v>66311.211548520005</v>
      </c>
      <c r="P10" s="2" t="s">
        <v>0</v>
      </c>
      <c r="Q10" s="2">
        <f t="shared" si="1"/>
        <v>-171.9534895199904</v>
      </c>
      <c r="R10" s="2" t="s">
        <v>0</v>
      </c>
      <c r="S10" s="30" t="s">
        <v>167</v>
      </c>
      <c r="T10" s="2" t="s">
        <v>0</v>
      </c>
      <c r="U10" s="29">
        <v>66311.211548520005</v>
      </c>
      <c r="V10" s="2" t="s">
        <v>0</v>
      </c>
      <c r="W10" s="29">
        <f t="shared" si="2"/>
        <v>-825.16503803999512</v>
      </c>
      <c r="X10" s="2" t="s">
        <v>0</v>
      </c>
      <c r="Y10" s="29">
        <f t="shared" si="3"/>
        <v>-116.16503803999512</v>
      </c>
      <c r="Z10" s="28" t="s">
        <v>13</v>
      </c>
      <c r="AA10" s="28">
        <f t="shared" si="0"/>
        <v>833.30165970456346</v>
      </c>
      <c r="AB10" s="19">
        <v>62350.324999999997</v>
      </c>
      <c r="AC10" s="2">
        <f t="shared" si="4"/>
        <v>-1.3234334192163315</v>
      </c>
    </row>
    <row r="11" spans="1:29">
      <c r="A11" s="2"/>
      <c r="B11" s="2" t="s">
        <v>0</v>
      </c>
      <c r="C11" s="2" t="s">
        <v>15</v>
      </c>
      <c r="D11" s="2" t="s">
        <v>0</v>
      </c>
      <c r="E11" s="29">
        <v>67258</v>
      </c>
      <c r="F11" s="2" t="s">
        <v>0</v>
      </c>
      <c r="G11" s="30">
        <v>68306.276298059995</v>
      </c>
      <c r="H11" s="2" t="s">
        <v>0</v>
      </c>
      <c r="I11" s="30">
        <v>68306.276298059995</v>
      </c>
      <c r="J11" s="2" t="s">
        <v>0</v>
      </c>
      <c r="K11" s="31">
        <v>67440</v>
      </c>
      <c r="L11" s="2" t="s">
        <v>0</v>
      </c>
      <c r="M11" s="2">
        <v>68238</v>
      </c>
      <c r="N11" s="2" t="s">
        <v>0</v>
      </c>
      <c r="O11" s="29">
        <v>68134.384261259998</v>
      </c>
      <c r="P11" s="2" t="s">
        <v>0</v>
      </c>
      <c r="Q11" s="2">
        <f t="shared" si="1"/>
        <v>-171.89203679999628</v>
      </c>
      <c r="R11" s="2" t="s">
        <v>0</v>
      </c>
      <c r="S11" s="30" t="s">
        <v>168</v>
      </c>
      <c r="T11" s="2" t="s">
        <v>0</v>
      </c>
      <c r="U11" s="29">
        <v>68134.384261259998</v>
      </c>
      <c r="V11" s="2" t="s">
        <v>0</v>
      </c>
      <c r="W11" s="29">
        <f t="shared" si="2"/>
        <v>-866.27629805999459</v>
      </c>
      <c r="X11" s="2" t="s">
        <v>0</v>
      </c>
      <c r="Y11" s="29">
        <f t="shared" si="3"/>
        <v>-68.276298059994588</v>
      </c>
      <c r="Z11" s="28" t="s">
        <v>13</v>
      </c>
      <c r="AA11" s="28">
        <f t="shared" si="0"/>
        <v>868.96275953420798</v>
      </c>
      <c r="AB11" s="19">
        <v>63928.12</v>
      </c>
      <c r="AC11" s="2">
        <f t="shared" si="4"/>
        <v>-1.3550786384145108</v>
      </c>
    </row>
    <row r="12" spans="1:29">
      <c r="A12" s="2" t="s">
        <v>25</v>
      </c>
      <c r="B12" s="2" t="s">
        <v>0</v>
      </c>
      <c r="C12" s="2" t="s">
        <v>21</v>
      </c>
      <c r="D12" s="2" t="s">
        <v>0</v>
      </c>
      <c r="E12" s="29">
        <v>68674</v>
      </c>
      <c r="F12" s="2" t="s">
        <v>0</v>
      </c>
      <c r="G12" s="30">
        <v>73325.150666820002</v>
      </c>
      <c r="H12" s="2" t="s">
        <v>0</v>
      </c>
      <c r="I12" s="30">
        <v>73325.150666820002</v>
      </c>
      <c r="J12" s="2" t="s">
        <v>0</v>
      </c>
      <c r="K12" s="31">
        <v>71293</v>
      </c>
      <c r="L12" s="2" t="s">
        <v>0</v>
      </c>
      <c r="M12" s="2">
        <v>73182</v>
      </c>
      <c r="N12" s="2" t="s">
        <v>0</v>
      </c>
      <c r="O12" s="29">
        <v>73287.469175759994</v>
      </c>
      <c r="P12" s="2" t="s">
        <v>0</v>
      </c>
      <c r="Q12" s="2">
        <f t="shared" si="1"/>
        <v>-37.681491060007829</v>
      </c>
      <c r="R12" s="2" t="s">
        <v>0</v>
      </c>
      <c r="S12" s="32">
        <v>68160.813320340007</v>
      </c>
      <c r="T12" s="2" t="s">
        <v>0</v>
      </c>
      <c r="U12" s="32">
        <f>S12+Q12</f>
        <v>68123.131829279999</v>
      </c>
      <c r="V12" s="2" t="s">
        <v>0</v>
      </c>
      <c r="W12" s="29">
        <f t="shared" si="2"/>
        <v>-2032.1506668200018</v>
      </c>
      <c r="X12" s="2" t="s">
        <v>0</v>
      </c>
      <c r="Y12" s="29">
        <f t="shared" si="3"/>
        <v>-143.15066682000179</v>
      </c>
      <c r="Z12" s="28" t="s">
        <v>13</v>
      </c>
      <c r="AA12" s="28">
        <f t="shared" si="0"/>
        <v>2037.186404349879</v>
      </c>
      <c r="AB12" s="19">
        <v>68886.429999999993</v>
      </c>
      <c r="AC12" s="2">
        <f t="shared" si="4"/>
        <v>-2.9500014252734568</v>
      </c>
    </row>
    <row r="13" spans="1:29">
      <c r="A13" s="2" t="s">
        <v>26</v>
      </c>
      <c r="B13" s="2" t="s">
        <v>0</v>
      </c>
      <c r="C13" s="2" t="s">
        <v>19</v>
      </c>
      <c r="D13" s="2" t="s">
        <v>0</v>
      </c>
      <c r="E13" s="29">
        <v>72696</v>
      </c>
      <c r="F13" s="2" t="s">
        <v>0</v>
      </c>
      <c r="G13" s="30">
        <v>73685.375537760003</v>
      </c>
      <c r="H13" s="2" t="s">
        <v>0</v>
      </c>
      <c r="I13" s="30">
        <v>73685.375537760003</v>
      </c>
      <c r="J13" s="2" t="s">
        <v>0</v>
      </c>
      <c r="K13" s="31">
        <v>72857</v>
      </c>
      <c r="L13" s="2" t="s">
        <v>0</v>
      </c>
      <c r="M13" s="2">
        <v>73631</v>
      </c>
      <c r="N13" s="2" t="s">
        <v>0</v>
      </c>
      <c r="O13" s="29">
        <v>73497.275346060007</v>
      </c>
      <c r="P13" s="2" t="s">
        <v>0</v>
      </c>
      <c r="Q13" s="2">
        <f t="shared" si="1"/>
        <v>-188.10019169999578</v>
      </c>
      <c r="R13" s="2" t="s">
        <v>0</v>
      </c>
      <c r="S13" s="30" t="s">
        <v>169</v>
      </c>
      <c r="T13" s="2" t="s">
        <v>0</v>
      </c>
      <c r="U13" s="29">
        <v>73497.275346060007</v>
      </c>
      <c r="V13" s="2" t="s">
        <v>0</v>
      </c>
      <c r="W13" s="29">
        <f t="shared" si="2"/>
        <v>-828.37553776000277</v>
      </c>
      <c r="X13" s="2" t="s">
        <v>0</v>
      </c>
      <c r="Y13" s="29">
        <f t="shared" si="3"/>
        <v>-54.375537760002771</v>
      </c>
      <c r="Z13" s="28" t="s">
        <v>13</v>
      </c>
      <c r="AA13" s="28">
        <f t="shared" si="0"/>
        <v>830.15825639805769</v>
      </c>
      <c r="AB13" s="19">
        <v>69516.576000000001</v>
      </c>
      <c r="AC13" s="2">
        <f t="shared" si="4"/>
        <v>-1.1916230421935665</v>
      </c>
    </row>
    <row r="14" spans="1:29">
      <c r="A14" s="2"/>
      <c r="B14" s="2" t="s">
        <v>0</v>
      </c>
      <c r="C14" s="2" t="s">
        <v>20</v>
      </c>
      <c r="D14" s="2" t="s">
        <v>0</v>
      </c>
      <c r="E14" s="29">
        <v>72811</v>
      </c>
      <c r="F14" s="2" t="s">
        <v>0</v>
      </c>
      <c r="G14" s="30">
        <v>73833.428308679999</v>
      </c>
      <c r="H14" s="2" t="s">
        <v>0</v>
      </c>
      <c r="I14" s="30">
        <v>73833.430503419993</v>
      </c>
      <c r="J14" s="2" t="s">
        <v>0</v>
      </c>
      <c r="K14" s="31">
        <v>73004</v>
      </c>
      <c r="L14" s="2" t="s">
        <v>0</v>
      </c>
      <c r="M14" s="2">
        <v>73781</v>
      </c>
      <c r="N14" s="2" t="s">
        <v>0</v>
      </c>
      <c r="O14" s="29">
        <v>73646.260881480004</v>
      </c>
      <c r="P14" s="2" t="s">
        <v>0</v>
      </c>
      <c r="Q14" s="2">
        <f t="shared" si="1"/>
        <v>-187.16742719999456</v>
      </c>
      <c r="R14" s="2" t="s">
        <v>0</v>
      </c>
      <c r="S14" s="30" t="s">
        <v>170</v>
      </c>
      <c r="T14" s="2" t="s">
        <v>0</v>
      </c>
      <c r="U14" s="29">
        <v>73646.260881480004</v>
      </c>
      <c r="V14" s="2" t="s">
        <v>0</v>
      </c>
      <c r="W14" s="29">
        <f t="shared" si="2"/>
        <v>-829.42830867999874</v>
      </c>
      <c r="X14" s="2" t="s">
        <v>0</v>
      </c>
      <c r="Y14" s="29">
        <f t="shared" si="3"/>
        <v>-52.428308679998736</v>
      </c>
      <c r="Z14" s="28" t="s">
        <v>13</v>
      </c>
      <c r="AA14" s="28">
        <f t="shared" si="0"/>
        <v>831.08365811800718</v>
      </c>
      <c r="AB14" s="19">
        <v>69661.803</v>
      </c>
      <c r="AC14" s="2">
        <f t="shared" si="4"/>
        <v>-1.1906500735848005</v>
      </c>
    </row>
    <row r="15" spans="1:29">
      <c r="A15" s="2" t="s">
        <v>25</v>
      </c>
      <c r="B15" s="2" t="s">
        <v>0</v>
      </c>
      <c r="C15" s="2" t="s">
        <v>27</v>
      </c>
      <c r="D15" s="2" t="s">
        <v>0</v>
      </c>
      <c r="E15" s="29">
        <v>70251</v>
      </c>
      <c r="F15" s="2" t="s">
        <v>0</v>
      </c>
      <c r="G15" s="30">
        <v>75757.247408340001</v>
      </c>
      <c r="H15" s="2" t="s">
        <v>0</v>
      </c>
      <c r="I15" s="30">
        <v>75757.247408340001</v>
      </c>
      <c r="J15" s="2" t="s">
        <v>0</v>
      </c>
      <c r="K15" s="31">
        <v>73214</v>
      </c>
      <c r="L15" s="2" t="s">
        <v>0</v>
      </c>
      <c r="M15" s="2">
        <v>75602</v>
      </c>
      <c r="N15" s="2" t="s">
        <v>0</v>
      </c>
      <c r="O15" s="29">
        <v>75841.93803546</v>
      </c>
      <c r="P15" s="2" t="s">
        <v>0</v>
      </c>
      <c r="Q15" s="2">
        <f t="shared" si="1"/>
        <v>84.69062711999868</v>
      </c>
      <c r="R15" s="2" t="s">
        <v>0</v>
      </c>
      <c r="S15" s="32">
        <v>69418.539803699998</v>
      </c>
      <c r="T15" s="2" t="s">
        <v>0</v>
      </c>
      <c r="U15" s="32">
        <f>S15+Q15</f>
        <v>69503.230430819996</v>
      </c>
      <c r="V15" s="2" t="s">
        <v>0</v>
      </c>
      <c r="W15" s="29">
        <f t="shared" si="2"/>
        <v>-2543.2474083400011</v>
      </c>
      <c r="X15" s="2" t="s">
        <v>0</v>
      </c>
      <c r="Y15" s="29">
        <f t="shared" si="3"/>
        <v>-155.24740834000113</v>
      </c>
      <c r="Z15" s="28" t="s">
        <v>28</v>
      </c>
      <c r="AA15" s="28">
        <f t="shared" si="0"/>
        <v>2547.9813849053958</v>
      </c>
      <c r="AB15" s="19">
        <v>70932.2</v>
      </c>
      <c r="AC15" s="2">
        <f t="shared" si="4"/>
        <v>-3.585462467454839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C2593-CF09-2B48-936F-BA15810FDB9D}">
  <dimension ref="A1:AD201"/>
  <sheetViews>
    <sheetView workbookViewId="0">
      <selection sqref="A1:C1"/>
    </sheetView>
  </sheetViews>
  <sheetFormatPr baseColWidth="10" defaultColWidth="9" defaultRowHeight="15"/>
  <cols>
    <col min="1" max="1" width="15.33203125" style="2" customWidth="1"/>
    <col min="2" max="2" width="3.33203125" style="2" bestFit="1" customWidth="1"/>
    <col min="3" max="3" width="9.33203125" style="2" bestFit="1" customWidth="1"/>
    <col min="4" max="4" width="3.33203125" style="2" bestFit="1" customWidth="1"/>
    <col min="5" max="5" width="26.5" style="2" customWidth="1"/>
    <col min="6" max="6" width="3.33203125" style="2" bestFit="1" customWidth="1"/>
    <col min="7" max="7" width="26.5" style="2" customWidth="1"/>
    <col min="8" max="8" width="3.33203125" style="2" bestFit="1" customWidth="1"/>
    <col min="9" max="9" width="26.5" style="2" customWidth="1"/>
    <col min="10" max="10" width="3.33203125" style="2" bestFit="1" customWidth="1"/>
    <col min="11" max="11" width="34.6640625" style="2" bestFit="1" customWidth="1"/>
    <col min="12" max="12" width="3.33203125" style="2" bestFit="1" customWidth="1"/>
    <col min="13" max="13" width="15.6640625" style="36" bestFit="1" customWidth="1"/>
    <col min="14" max="14" width="3.33203125" style="36" bestFit="1" customWidth="1"/>
    <col min="15" max="15" width="31.1640625" style="2" customWidth="1"/>
    <col min="16" max="16" width="3.33203125" style="2" bestFit="1" customWidth="1"/>
    <col min="17" max="17" width="18.1640625" style="2" bestFit="1" customWidth="1"/>
    <col min="18" max="18" width="3.33203125" style="2" bestFit="1" customWidth="1"/>
    <col min="19" max="19" width="23.1640625" style="2" customWidth="1"/>
    <col min="20" max="20" width="3.33203125" style="2" bestFit="1" customWidth="1"/>
    <col min="21" max="21" width="9" style="12"/>
    <col min="22" max="22" width="3.33203125" style="2" bestFit="1" customWidth="1"/>
    <col min="23" max="23" width="18.1640625" style="2" bestFit="1" customWidth="1"/>
    <col min="24" max="24" width="3.33203125" style="2" bestFit="1" customWidth="1"/>
    <col min="25" max="25" width="13.83203125" style="2" customWidth="1"/>
    <col min="26" max="26" width="26" style="2" bestFit="1" customWidth="1"/>
    <col min="27" max="30" width="9" style="2"/>
    <col min="31" max="16384" width="9" style="12"/>
  </cols>
  <sheetData>
    <row r="1" spans="1:29">
      <c r="A1" s="17" t="s">
        <v>139</v>
      </c>
      <c r="B1" s="17"/>
      <c r="C1" s="17"/>
      <c r="D1" s="2" t="s">
        <v>0</v>
      </c>
      <c r="E1" s="24" t="s">
        <v>156</v>
      </c>
      <c r="F1" s="2" t="s">
        <v>0</v>
      </c>
      <c r="G1" s="24" t="s">
        <v>184</v>
      </c>
      <c r="H1" s="2" t="s">
        <v>0</v>
      </c>
      <c r="I1" s="24" t="s">
        <v>158</v>
      </c>
      <c r="J1" s="2" t="s">
        <v>0</v>
      </c>
      <c r="K1" s="33" t="s">
        <v>185</v>
      </c>
      <c r="L1" s="19" t="s">
        <v>0</v>
      </c>
      <c r="M1" s="19" t="s">
        <v>160</v>
      </c>
      <c r="N1" s="19" t="s">
        <v>0</v>
      </c>
      <c r="O1" s="6" t="s">
        <v>186</v>
      </c>
      <c r="P1" s="19" t="s">
        <v>0</v>
      </c>
      <c r="Q1" s="19" t="s">
        <v>9</v>
      </c>
      <c r="R1" s="19" t="s">
        <v>0</v>
      </c>
      <c r="S1" s="26" t="s">
        <v>162</v>
      </c>
      <c r="T1" s="19" t="s">
        <v>0</v>
      </c>
      <c r="U1" s="19" t="s">
        <v>187</v>
      </c>
      <c r="V1" s="19" t="s">
        <v>0</v>
      </c>
      <c r="W1" s="19" t="s">
        <v>164</v>
      </c>
      <c r="X1" s="19" t="s">
        <v>0</v>
      </c>
      <c r="Y1" s="19" t="s">
        <v>165</v>
      </c>
      <c r="Z1" s="28" t="s">
        <v>166</v>
      </c>
    </row>
    <row r="2" spans="1:29" customFormat="1">
      <c r="A2" s="2" t="s">
        <v>172</v>
      </c>
      <c r="B2" s="2" t="s">
        <v>0</v>
      </c>
      <c r="C2" s="2" t="s">
        <v>171</v>
      </c>
      <c r="D2" s="2" t="s">
        <v>0</v>
      </c>
      <c r="E2" s="24" t="s">
        <v>173</v>
      </c>
      <c r="F2" s="2" t="s">
        <v>0</v>
      </c>
      <c r="G2" s="24" t="s">
        <v>174</v>
      </c>
      <c r="H2" s="2" t="s">
        <v>0</v>
      </c>
      <c r="I2" s="24" t="s">
        <v>175</v>
      </c>
      <c r="J2" s="2" t="s">
        <v>0</v>
      </c>
      <c r="K2" s="24" t="s">
        <v>176</v>
      </c>
      <c r="L2" s="2" t="s">
        <v>0</v>
      </c>
      <c r="M2" s="24" t="s">
        <v>177</v>
      </c>
      <c r="N2" s="2" t="s">
        <v>0</v>
      </c>
      <c r="O2" s="24" t="s">
        <v>178</v>
      </c>
      <c r="P2" s="2" t="s">
        <v>0</v>
      </c>
      <c r="Q2" s="24" t="s">
        <v>179</v>
      </c>
      <c r="R2" s="2" t="s">
        <v>0</v>
      </c>
      <c r="S2" s="24" t="s">
        <v>180</v>
      </c>
      <c r="T2" s="2" t="s">
        <v>0</v>
      </c>
      <c r="U2" s="24" t="s">
        <v>181</v>
      </c>
      <c r="V2" s="2" t="s">
        <v>0</v>
      </c>
      <c r="W2" s="24" t="s">
        <v>182</v>
      </c>
      <c r="X2" s="2" t="s">
        <v>0</v>
      </c>
      <c r="Y2" s="24" t="s">
        <v>183</v>
      </c>
      <c r="Z2" s="28" t="s">
        <v>127</v>
      </c>
      <c r="AA2" s="28"/>
      <c r="AB2" s="2"/>
      <c r="AC2" s="2"/>
    </row>
    <row r="3" spans="1:29">
      <c r="A3" s="2" t="s">
        <v>12</v>
      </c>
      <c r="B3" s="2" t="s">
        <v>0</v>
      </c>
      <c r="D3" s="2" t="s">
        <v>0</v>
      </c>
      <c r="E3" s="34"/>
      <c r="F3" s="2" t="s">
        <v>0</v>
      </c>
      <c r="G3" s="34"/>
      <c r="H3" s="2" t="s">
        <v>0</v>
      </c>
      <c r="I3" s="34"/>
      <c r="J3" s="2" t="s">
        <v>0</v>
      </c>
      <c r="K3" s="34"/>
      <c r="L3" s="2" t="s">
        <v>0</v>
      </c>
      <c r="M3" s="2"/>
      <c r="N3" s="2" t="s">
        <v>0</v>
      </c>
      <c r="O3" s="34"/>
      <c r="P3" s="2" t="s">
        <v>0</v>
      </c>
      <c r="R3" s="2" t="s">
        <v>0</v>
      </c>
      <c r="S3" s="34"/>
      <c r="T3" s="2" t="s">
        <v>0</v>
      </c>
      <c r="V3" s="2" t="s">
        <v>0</v>
      </c>
      <c r="X3" s="2" t="s">
        <v>0</v>
      </c>
      <c r="Z3" s="28" t="s">
        <v>100</v>
      </c>
    </row>
    <row r="4" spans="1:29">
      <c r="A4" s="2" t="s">
        <v>82</v>
      </c>
      <c r="B4" s="2" t="s">
        <v>0</v>
      </c>
      <c r="C4" s="2" t="s">
        <v>15</v>
      </c>
      <c r="D4" s="2" t="s">
        <v>0</v>
      </c>
      <c r="E4" s="2">
        <v>112948.789301</v>
      </c>
      <c r="F4" s="2" t="s">
        <v>0</v>
      </c>
      <c r="G4" s="2">
        <v>112601.203992</v>
      </c>
      <c r="H4" s="2" t="s">
        <v>0</v>
      </c>
      <c r="I4" s="2">
        <v>112601.20529699999</v>
      </c>
      <c r="J4" s="2" t="s">
        <v>0</v>
      </c>
      <c r="K4" s="2">
        <v>114701.31353499999</v>
      </c>
      <c r="L4" s="2" t="s">
        <v>0</v>
      </c>
      <c r="M4" s="2">
        <v>112524</v>
      </c>
      <c r="N4" s="2" t="s">
        <v>0</v>
      </c>
      <c r="O4" s="2">
        <v>112471.075429</v>
      </c>
      <c r="P4" s="2" t="s">
        <v>0</v>
      </c>
      <c r="Q4" s="2">
        <f>O4-G4</f>
        <v>-130.12856299999112</v>
      </c>
      <c r="R4" s="2" t="s">
        <v>0</v>
      </c>
      <c r="S4" s="2">
        <v>114265</v>
      </c>
      <c r="T4" s="2" t="s">
        <v>0</v>
      </c>
      <c r="U4" s="35">
        <f>S4+Q4</f>
        <v>114134.87143700001</v>
      </c>
      <c r="V4" s="2" t="s">
        <v>0</v>
      </c>
      <c r="W4" s="2">
        <f>K4-G4</f>
        <v>2100.1095429999987</v>
      </c>
      <c r="X4" s="2" t="s">
        <v>0</v>
      </c>
      <c r="Y4" s="2">
        <v>-77</v>
      </c>
      <c r="Z4" s="28" t="s">
        <v>100</v>
      </c>
      <c r="AA4" s="28">
        <f>(W4*W4+Y4*Y4)^0.5</f>
        <v>2101.5206619492615</v>
      </c>
    </row>
    <row r="5" spans="1:29">
      <c r="A5" s="2" t="s">
        <v>17</v>
      </c>
      <c r="B5" s="2" t="s">
        <v>0</v>
      </c>
      <c r="D5" s="2" t="s">
        <v>0</v>
      </c>
      <c r="E5" s="34"/>
      <c r="F5" s="2" t="s">
        <v>0</v>
      </c>
      <c r="G5" s="34"/>
      <c r="H5" s="2" t="s">
        <v>0</v>
      </c>
      <c r="I5" s="34"/>
      <c r="J5" s="2" t="s">
        <v>0</v>
      </c>
      <c r="K5" s="34"/>
      <c r="L5" s="2" t="s">
        <v>0</v>
      </c>
      <c r="M5" s="2"/>
      <c r="N5" s="2" t="s">
        <v>0</v>
      </c>
      <c r="O5" s="34"/>
      <c r="P5" s="2" t="s">
        <v>0</v>
      </c>
      <c r="R5" s="2" t="s">
        <v>0</v>
      </c>
      <c r="S5" s="34"/>
      <c r="T5" s="2" t="s">
        <v>0</v>
      </c>
      <c r="V5" s="2" t="s">
        <v>0</v>
      </c>
      <c r="X5" s="2" t="s">
        <v>0</v>
      </c>
      <c r="Z5" s="28" t="s">
        <v>100</v>
      </c>
      <c r="AA5" s="28">
        <f t="shared" ref="AA5:AA17" si="0">(W5*W5+Y5*Y5)^0.5</f>
        <v>0</v>
      </c>
    </row>
    <row r="6" spans="1:29">
      <c r="A6" s="2" t="s">
        <v>31</v>
      </c>
      <c r="B6" s="2" t="s">
        <v>0</v>
      </c>
      <c r="C6" s="2" t="s">
        <v>21</v>
      </c>
      <c r="D6" s="2" t="s">
        <v>0</v>
      </c>
      <c r="E6" s="2">
        <v>39114.327068999999</v>
      </c>
      <c r="F6" s="2" t="s">
        <v>0</v>
      </c>
      <c r="G6" s="2">
        <v>38766.438831599997</v>
      </c>
      <c r="H6" s="2" t="s">
        <v>0</v>
      </c>
      <c r="I6" s="2">
        <v>38766.438831599997</v>
      </c>
      <c r="J6" s="2" t="s">
        <v>0</v>
      </c>
      <c r="K6" s="2">
        <v>37740.749040000002</v>
      </c>
      <c r="L6" s="2" t="s">
        <v>0</v>
      </c>
      <c r="M6" s="22">
        <v>38709</v>
      </c>
      <c r="N6" s="2" t="s">
        <v>0</v>
      </c>
      <c r="O6" s="2">
        <v>38907.626455800098</v>
      </c>
      <c r="P6" s="2" t="s">
        <v>0</v>
      </c>
      <c r="Q6" s="2">
        <f t="shared" ref="Q6:Q17" si="1">O6-G6</f>
        <v>141.18762420010171</v>
      </c>
      <c r="R6" s="2" t="s">
        <v>0</v>
      </c>
      <c r="S6" s="2">
        <v>34340.701730000001</v>
      </c>
      <c r="T6" s="2" t="s">
        <v>0</v>
      </c>
      <c r="U6" s="35">
        <f t="shared" ref="U6:U17" si="2">S6+Q6</f>
        <v>34481.889354200102</v>
      </c>
      <c r="V6" s="2" t="s">
        <v>0</v>
      </c>
      <c r="W6" s="2">
        <f t="shared" ref="W6:W17" si="3">K6-G6</f>
        <v>-1025.6897915999944</v>
      </c>
      <c r="X6" s="2" t="s">
        <v>0</v>
      </c>
      <c r="Y6" s="2">
        <f>M6-G6</f>
        <v>-57.438831599996774</v>
      </c>
      <c r="Z6" s="28" t="s">
        <v>13</v>
      </c>
      <c r="AA6" s="28">
        <f t="shared" si="0"/>
        <v>1027.2968256390227</v>
      </c>
    </row>
    <row r="7" spans="1:29">
      <c r="B7" s="2" t="s">
        <v>0</v>
      </c>
      <c r="C7" s="2" t="s">
        <v>32</v>
      </c>
      <c r="D7" s="2" t="s">
        <v>0</v>
      </c>
      <c r="E7" s="2">
        <v>42027.559102799998</v>
      </c>
      <c r="F7" s="2" t="s">
        <v>0</v>
      </c>
      <c r="G7" s="2">
        <v>41683.994503200003</v>
      </c>
      <c r="H7" s="2" t="s">
        <v>0</v>
      </c>
      <c r="I7" s="2">
        <v>41683.994503200003</v>
      </c>
      <c r="J7" s="2" t="s">
        <v>0</v>
      </c>
      <c r="K7" s="2">
        <v>40685.343908399998</v>
      </c>
      <c r="L7" s="2" t="s">
        <v>0</v>
      </c>
      <c r="M7" s="22">
        <v>41627</v>
      </c>
      <c r="N7" s="2" t="s">
        <v>0</v>
      </c>
      <c r="O7" s="2">
        <v>41828.123079000099</v>
      </c>
      <c r="P7" s="2" t="s">
        <v>0</v>
      </c>
      <c r="Q7" s="2">
        <f t="shared" si="1"/>
        <v>144.12857580009586</v>
      </c>
      <c r="R7" s="2" t="s">
        <v>0</v>
      </c>
      <c r="S7" s="2">
        <v>37358.271699999998</v>
      </c>
      <c r="T7" s="2" t="s">
        <v>0</v>
      </c>
      <c r="U7" s="35">
        <f t="shared" si="2"/>
        <v>37502.400275800093</v>
      </c>
      <c r="V7" s="2" t="s">
        <v>0</v>
      </c>
      <c r="W7" s="2">
        <f t="shared" si="3"/>
        <v>-998.65059480000491</v>
      </c>
      <c r="X7" s="2" t="s">
        <v>0</v>
      </c>
      <c r="Y7" s="2">
        <f t="shared" ref="Y7:Y16" si="4">M7-G7</f>
        <v>-56.994503200003237</v>
      </c>
      <c r="Z7" s="28" t="s">
        <v>13</v>
      </c>
      <c r="AA7" s="28">
        <f t="shared" si="0"/>
        <v>1000.2756539521587</v>
      </c>
    </row>
    <row r="8" spans="1:29">
      <c r="A8" s="2" t="s">
        <v>33</v>
      </c>
      <c r="B8" s="2" t="s">
        <v>0</v>
      </c>
      <c r="C8" s="2" t="s">
        <v>19</v>
      </c>
      <c r="D8" s="2" t="s">
        <v>0</v>
      </c>
      <c r="E8" s="2">
        <v>51061.899049200001</v>
      </c>
      <c r="F8" s="2" t="s">
        <v>0</v>
      </c>
      <c r="G8" s="2">
        <v>50849.953007399999</v>
      </c>
      <c r="H8" s="2" t="s">
        <v>0</v>
      </c>
      <c r="I8" s="2">
        <v>50849.953007399999</v>
      </c>
      <c r="J8" s="2" t="s">
        <v>0</v>
      </c>
      <c r="K8" s="2">
        <v>52670.840995799997</v>
      </c>
      <c r="L8" s="2" t="s">
        <v>0</v>
      </c>
      <c r="M8" s="22">
        <v>50860</v>
      </c>
      <c r="N8" s="2" t="s">
        <v>0</v>
      </c>
      <c r="O8" s="2">
        <v>50464.315241999997</v>
      </c>
      <c r="P8" s="2" t="s">
        <v>0</v>
      </c>
      <c r="Q8" s="2">
        <f t="shared" si="1"/>
        <v>-385.63776540000254</v>
      </c>
      <c r="R8" s="2" t="s">
        <v>0</v>
      </c>
      <c r="S8" s="2">
        <v>52422.2428</v>
      </c>
      <c r="T8" s="2" t="s">
        <v>0</v>
      </c>
      <c r="U8" s="35">
        <f t="shared" si="2"/>
        <v>52036.605034599997</v>
      </c>
      <c r="V8" s="2" t="s">
        <v>0</v>
      </c>
      <c r="W8" s="2">
        <f t="shared" si="3"/>
        <v>1820.887988399998</v>
      </c>
      <c r="X8" s="2" t="s">
        <v>0</v>
      </c>
      <c r="Y8" s="2">
        <f t="shared" si="4"/>
        <v>10.046992600000522</v>
      </c>
      <c r="Z8" s="28" t="s">
        <v>13</v>
      </c>
      <c r="AA8" s="28">
        <f t="shared" si="0"/>
        <v>1820.9157060006089</v>
      </c>
    </row>
    <row r="9" spans="1:29">
      <c r="B9" s="2" t="s">
        <v>0</v>
      </c>
      <c r="C9" s="2" t="s">
        <v>20</v>
      </c>
      <c r="D9" s="2" t="s">
        <v>0</v>
      </c>
      <c r="E9" s="2">
        <v>53680.0921848</v>
      </c>
      <c r="F9" s="2" t="s">
        <v>0</v>
      </c>
      <c r="G9" s="2">
        <v>53491.147018199998</v>
      </c>
      <c r="H9" s="2" t="s">
        <v>0</v>
      </c>
      <c r="I9" s="2">
        <v>53491.147018199998</v>
      </c>
      <c r="J9" s="2" t="s">
        <v>0</v>
      </c>
      <c r="K9" s="2">
        <v>54900.9602046</v>
      </c>
      <c r="L9" s="2" t="s">
        <v>0</v>
      </c>
      <c r="M9" s="22">
        <v>53492</v>
      </c>
      <c r="N9" s="2" t="s">
        <v>0</v>
      </c>
      <c r="O9" s="2">
        <v>53179.669517399998</v>
      </c>
      <c r="P9" s="2" t="s">
        <v>0</v>
      </c>
      <c r="Q9" s="2">
        <f t="shared" si="1"/>
        <v>-311.47750079999969</v>
      </c>
      <c r="R9" s="2" t="s">
        <v>0</v>
      </c>
      <c r="S9" s="2">
        <v>54254.016689999997</v>
      </c>
      <c r="T9" s="2" t="s">
        <v>0</v>
      </c>
      <c r="U9" s="35">
        <f t="shared" si="2"/>
        <v>53942.539189199997</v>
      </c>
      <c r="V9" s="2" t="s">
        <v>0</v>
      </c>
      <c r="W9" s="2">
        <f t="shared" si="3"/>
        <v>1409.8131864000025</v>
      </c>
      <c r="X9" s="2" t="s">
        <v>0</v>
      </c>
      <c r="Y9" s="2">
        <f t="shared" si="4"/>
        <v>0.85298180000245338</v>
      </c>
      <c r="Z9" s="28" t="s">
        <v>13</v>
      </c>
      <c r="AA9" s="28">
        <f t="shared" si="0"/>
        <v>1409.8134444405327</v>
      </c>
    </row>
    <row r="10" spans="1:29">
      <c r="A10" s="2" t="s">
        <v>31</v>
      </c>
      <c r="B10" s="2" t="s">
        <v>0</v>
      </c>
      <c r="C10" s="2" t="s">
        <v>34</v>
      </c>
      <c r="D10" s="2" t="s">
        <v>0</v>
      </c>
      <c r="E10" s="2">
        <v>62650.938303000003</v>
      </c>
      <c r="F10" s="2" t="s">
        <v>0</v>
      </c>
      <c r="G10" s="2">
        <v>62301.250378800003</v>
      </c>
      <c r="H10" s="2" t="s">
        <v>0</v>
      </c>
      <c r="I10" s="2">
        <v>62301.250378800003</v>
      </c>
      <c r="J10" s="2" t="s">
        <v>0</v>
      </c>
      <c r="K10" s="2">
        <v>61756.428121199999</v>
      </c>
      <c r="L10" s="2" t="s">
        <v>0</v>
      </c>
      <c r="M10" s="22">
        <v>62243</v>
      </c>
      <c r="N10" s="2" t="s">
        <v>0</v>
      </c>
      <c r="O10" s="2">
        <v>62444.6985852</v>
      </c>
      <c r="P10" s="2" t="s">
        <v>0</v>
      </c>
      <c r="Q10" s="2">
        <f t="shared" si="1"/>
        <v>143.44820639999671</v>
      </c>
      <c r="R10" s="2" t="s">
        <v>0</v>
      </c>
      <c r="S10" s="2">
        <v>58164.64832</v>
      </c>
      <c r="T10" s="2" t="s">
        <v>0</v>
      </c>
      <c r="U10" s="35">
        <f t="shared" si="2"/>
        <v>58308.096526399997</v>
      </c>
      <c r="V10" s="2" t="s">
        <v>0</v>
      </c>
      <c r="W10" s="2">
        <f t="shared" si="3"/>
        <v>-544.82225760000438</v>
      </c>
      <c r="X10" s="2" t="s">
        <v>0</v>
      </c>
      <c r="Y10" s="2">
        <f t="shared" si="4"/>
        <v>-58.250378800003091</v>
      </c>
      <c r="Z10" s="28" t="s">
        <v>13</v>
      </c>
      <c r="AA10" s="28">
        <f t="shared" si="0"/>
        <v>547.92736654296561</v>
      </c>
    </row>
    <row r="11" spans="1:29">
      <c r="B11" s="2" t="s">
        <v>0</v>
      </c>
      <c r="C11" s="2" t="s">
        <v>35</v>
      </c>
      <c r="D11" s="2" t="s">
        <v>0</v>
      </c>
      <c r="E11" s="2">
        <v>63103.318111799999</v>
      </c>
      <c r="F11" s="2" t="s">
        <v>0</v>
      </c>
      <c r="G11" s="2">
        <v>62755.539611400003</v>
      </c>
      <c r="H11" s="2" t="s">
        <v>0</v>
      </c>
      <c r="I11" s="2">
        <v>62755.539611400003</v>
      </c>
      <c r="J11" s="2" t="s">
        <v>0</v>
      </c>
      <c r="K11" s="2">
        <v>62249.586199199999</v>
      </c>
      <c r="L11" s="2" t="s">
        <v>0</v>
      </c>
      <c r="M11" s="22">
        <v>62699</v>
      </c>
      <c r="N11" s="2" t="s">
        <v>0</v>
      </c>
      <c r="O11" s="2">
        <v>62896.244392800101</v>
      </c>
      <c r="P11" s="2" t="s">
        <v>0</v>
      </c>
      <c r="Q11" s="2">
        <f t="shared" si="1"/>
        <v>140.704781400098</v>
      </c>
      <c r="R11" s="2" t="s">
        <v>0</v>
      </c>
      <c r="S11" s="2">
        <v>58688.73029</v>
      </c>
      <c r="T11" s="2" t="s">
        <v>0</v>
      </c>
      <c r="U11" s="35">
        <f t="shared" si="2"/>
        <v>58829.435071400098</v>
      </c>
      <c r="V11" s="2" t="s">
        <v>0</v>
      </c>
      <c r="W11" s="2">
        <f t="shared" si="3"/>
        <v>-505.9534122000041</v>
      </c>
      <c r="X11" s="2" t="s">
        <v>0</v>
      </c>
      <c r="Y11" s="2">
        <f t="shared" si="4"/>
        <v>-56.539611400003196</v>
      </c>
      <c r="Z11" s="28" t="s">
        <v>13</v>
      </c>
      <c r="AA11" s="28">
        <f t="shared" si="0"/>
        <v>509.1027234007795</v>
      </c>
    </row>
    <row r="12" spans="1:29">
      <c r="B12" s="2" t="s">
        <v>0</v>
      </c>
      <c r="C12" s="2" t="s">
        <v>20</v>
      </c>
      <c r="D12" s="2" t="s">
        <v>0</v>
      </c>
      <c r="E12" s="2">
        <v>64155.147256800003</v>
      </c>
      <c r="F12" s="2" t="s">
        <v>0</v>
      </c>
      <c r="G12" s="2">
        <v>63833.069161799998</v>
      </c>
      <c r="H12" s="2" t="s">
        <v>0</v>
      </c>
      <c r="I12" s="2">
        <v>63833.069161799998</v>
      </c>
      <c r="J12" s="2" t="s">
        <v>0</v>
      </c>
      <c r="K12" s="2">
        <v>63506.184586199997</v>
      </c>
      <c r="L12" s="2" t="s">
        <v>0</v>
      </c>
      <c r="M12" s="22">
        <v>63782</v>
      </c>
      <c r="N12" s="2" t="s">
        <v>0</v>
      </c>
      <c r="O12" s="2">
        <v>63937.385154000003</v>
      </c>
      <c r="P12" s="2" t="s">
        <v>0</v>
      </c>
      <c r="Q12" s="2">
        <f t="shared" si="1"/>
        <v>104.31599220000498</v>
      </c>
      <c r="R12" s="2" t="s">
        <v>0</v>
      </c>
      <c r="S12" s="2">
        <v>60752.400410000002</v>
      </c>
      <c r="T12" s="2" t="s">
        <v>0</v>
      </c>
      <c r="U12" s="35">
        <f t="shared" si="2"/>
        <v>60856.716402200007</v>
      </c>
      <c r="V12" s="2" t="s">
        <v>0</v>
      </c>
      <c r="W12" s="2">
        <f t="shared" si="3"/>
        <v>-326.88457560000097</v>
      </c>
      <c r="X12" s="2" t="s">
        <v>0</v>
      </c>
      <c r="Y12" s="2">
        <f t="shared" si="4"/>
        <v>-51.069161799998255</v>
      </c>
      <c r="Z12" s="28" t="s">
        <v>13</v>
      </c>
      <c r="AA12" s="28">
        <f t="shared" si="0"/>
        <v>330.84979228064685</v>
      </c>
    </row>
    <row r="13" spans="1:29">
      <c r="B13" s="2" t="s">
        <v>0</v>
      </c>
      <c r="C13" s="2" t="s">
        <v>36</v>
      </c>
      <c r="D13" s="2" t="s">
        <v>0</v>
      </c>
      <c r="E13" s="2">
        <v>65711.788549200006</v>
      </c>
      <c r="F13" s="2" t="s">
        <v>0</v>
      </c>
      <c r="G13" s="2">
        <v>65364.931839600002</v>
      </c>
      <c r="H13" s="2" t="s">
        <v>0</v>
      </c>
      <c r="I13" s="2">
        <v>65364.931839600002</v>
      </c>
      <c r="J13" s="2" t="s">
        <v>0</v>
      </c>
      <c r="K13" s="2">
        <v>64804.768349400001</v>
      </c>
      <c r="L13" s="2" t="s">
        <v>0</v>
      </c>
      <c r="M13" s="22">
        <v>65307</v>
      </c>
      <c r="N13" s="2" t="s">
        <v>0</v>
      </c>
      <c r="O13" s="2">
        <v>65506.646201399999</v>
      </c>
      <c r="P13" s="2" t="s">
        <v>0</v>
      </c>
      <c r="Q13" s="2">
        <f t="shared" si="1"/>
        <v>141.71436179999728</v>
      </c>
      <c r="R13" s="2" t="s">
        <v>0</v>
      </c>
      <c r="S13" s="2">
        <v>61224.927940000001</v>
      </c>
      <c r="T13" s="2" t="s">
        <v>0</v>
      </c>
      <c r="U13" s="35">
        <f t="shared" si="2"/>
        <v>61366.642301799999</v>
      </c>
      <c r="V13" s="2" t="s">
        <v>0</v>
      </c>
      <c r="W13" s="2">
        <f t="shared" si="3"/>
        <v>-560.16349020000052</v>
      </c>
      <c r="X13" s="2" t="s">
        <v>0</v>
      </c>
      <c r="Y13" s="2">
        <f t="shared" si="4"/>
        <v>-57.931839600001695</v>
      </c>
      <c r="Z13" s="28" t="s">
        <v>13</v>
      </c>
      <c r="AA13" s="28">
        <f t="shared" si="0"/>
        <v>563.15116424676455</v>
      </c>
    </row>
    <row r="14" spans="1:29">
      <c r="B14" s="2" t="s">
        <v>0</v>
      </c>
      <c r="C14" s="2" t="s">
        <v>37</v>
      </c>
      <c r="D14" s="2" t="s">
        <v>0</v>
      </c>
      <c r="E14" s="2">
        <v>66518.838342000003</v>
      </c>
      <c r="F14" s="2" t="s">
        <v>0</v>
      </c>
      <c r="G14" s="2">
        <v>66176.5466916</v>
      </c>
      <c r="H14" s="2" t="s">
        <v>0</v>
      </c>
      <c r="I14" s="2">
        <v>66176.5466916</v>
      </c>
      <c r="J14" s="2" t="s">
        <v>0</v>
      </c>
      <c r="K14" s="2">
        <v>65720.852825399998</v>
      </c>
      <c r="L14" s="2" t="s">
        <v>0</v>
      </c>
      <c r="M14" s="22">
        <v>66119</v>
      </c>
      <c r="N14" s="2" t="s">
        <v>0</v>
      </c>
      <c r="O14" s="2">
        <v>66395.647585800005</v>
      </c>
      <c r="P14" s="2" t="s">
        <v>0</v>
      </c>
      <c r="Q14" s="2">
        <f t="shared" si="1"/>
        <v>219.1008942000044</v>
      </c>
      <c r="R14" s="2" t="s">
        <v>0</v>
      </c>
      <c r="S14" s="2">
        <v>61812.503729999997</v>
      </c>
      <c r="T14" s="2" t="s">
        <v>0</v>
      </c>
      <c r="U14" s="35">
        <f t="shared" si="2"/>
        <v>62031.604624200001</v>
      </c>
      <c r="V14" s="2" t="s">
        <v>0</v>
      </c>
      <c r="W14" s="2">
        <f t="shared" si="3"/>
        <v>-455.69386620000296</v>
      </c>
      <c r="X14" s="2" t="s">
        <v>0</v>
      </c>
      <c r="Y14" s="2">
        <f t="shared" si="4"/>
        <v>-57.546691600000486</v>
      </c>
      <c r="Z14" s="28" t="s">
        <v>13</v>
      </c>
      <c r="AA14" s="28">
        <f t="shared" si="0"/>
        <v>459.31309735997274</v>
      </c>
    </row>
    <row r="15" spans="1:29">
      <c r="B15" s="2" t="s">
        <v>0</v>
      </c>
      <c r="C15" s="2" t="s">
        <v>20</v>
      </c>
      <c r="D15" s="2" t="s">
        <v>0</v>
      </c>
      <c r="E15" s="2">
        <v>72134.585422200005</v>
      </c>
      <c r="F15" s="2" t="s">
        <v>0</v>
      </c>
      <c r="G15" s="2">
        <v>71904.510827999999</v>
      </c>
      <c r="H15" s="2" t="s">
        <v>0</v>
      </c>
      <c r="I15" s="2">
        <v>71904.510827999999</v>
      </c>
      <c r="J15" s="2" t="s">
        <v>0</v>
      </c>
      <c r="K15" s="2">
        <v>71387.671505399994</v>
      </c>
      <c r="L15" s="2" t="s">
        <v>0</v>
      </c>
      <c r="M15" s="22">
        <v>71862</v>
      </c>
      <c r="N15" s="2" t="s">
        <v>0</v>
      </c>
      <c r="O15" s="2">
        <v>72011.241034199993</v>
      </c>
      <c r="P15" s="2" t="s">
        <v>0</v>
      </c>
      <c r="Q15" s="2">
        <f t="shared" si="1"/>
        <v>106.73020619999443</v>
      </c>
      <c r="R15" s="2" t="s">
        <v>0</v>
      </c>
      <c r="S15" s="2">
        <v>68481.374849999993</v>
      </c>
      <c r="T15" s="2" t="s">
        <v>0</v>
      </c>
      <c r="U15" s="35">
        <f t="shared" si="2"/>
        <v>68588.105056199987</v>
      </c>
      <c r="V15" s="2" t="s">
        <v>0</v>
      </c>
      <c r="W15" s="2">
        <f t="shared" si="3"/>
        <v>-516.83932260000438</v>
      </c>
      <c r="X15" s="2" t="s">
        <v>0</v>
      </c>
      <c r="Y15" s="2">
        <f t="shared" si="4"/>
        <v>-42.510827999998583</v>
      </c>
      <c r="Z15" s="28" t="s">
        <v>13</v>
      </c>
      <c r="AA15" s="28">
        <f t="shared" si="0"/>
        <v>518.58466606994546</v>
      </c>
    </row>
    <row r="16" spans="1:29">
      <c r="A16" s="2" t="s">
        <v>33</v>
      </c>
      <c r="B16" s="2" t="s">
        <v>0</v>
      </c>
      <c r="C16" s="2" t="s">
        <v>21</v>
      </c>
      <c r="D16" s="2" t="s">
        <v>0</v>
      </c>
      <c r="E16" s="2">
        <v>75966.360040800006</v>
      </c>
      <c r="F16" s="2" t="s">
        <v>0</v>
      </c>
      <c r="G16" s="2">
        <v>75792</v>
      </c>
      <c r="H16" s="2" t="s">
        <v>0</v>
      </c>
      <c r="I16" s="2">
        <v>75792.207421800005</v>
      </c>
      <c r="J16" s="2" t="s">
        <v>0</v>
      </c>
      <c r="K16" s="2">
        <v>77570.341874999998</v>
      </c>
      <c r="L16" s="2" t="s">
        <v>0</v>
      </c>
      <c r="M16" s="22">
        <v>75803</v>
      </c>
      <c r="N16" s="2" t="s">
        <v>0</v>
      </c>
      <c r="O16" s="2">
        <v>75401.016964199996</v>
      </c>
      <c r="P16" s="2" t="s">
        <v>0</v>
      </c>
      <c r="Q16" s="2">
        <f t="shared" si="1"/>
        <v>-390.98303580000356</v>
      </c>
      <c r="R16" s="2" t="s">
        <v>0</v>
      </c>
      <c r="S16" s="2">
        <v>76916.726360000001</v>
      </c>
      <c r="T16" s="2" t="s">
        <v>0</v>
      </c>
      <c r="U16" s="35">
        <f t="shared" si="2"/>
        <v>76525.743324199997</v>
      </c>
      <c r="V16" s="2" t="s">
        <v>0</v>
      </c>
      <c r="W16" s="2">
        <f t="shared" si="3"/>
        <v>1778.3418749999983</v>
      </c>
      <c r="X16" s="2" t="s">
        <v>0</v>
      </c>
      <c r="Y16" s="2">
        <f t="shared" si="4"/>
        <v>11</v>
      </c>
      <c r="Z16" s="20" t="s">
        <v>13</v>
      </c>
      <c r="AA16" s="28">
        <f t="shared" si="0"/>
        <v>1778.3758951297416</v>
      </c>
    </row>
    <row r="17" spans="2:27">
      <c r="B17" s="2" t="s">
        <v>0</v>
      </c>
      <c r="C17" s="2" t="s">
        <v>22</v>
      </c>
      <c r="D17" s="2" t="s">
        <v>0</v>
      </c>
      <c r="E17" s="2">
        <v>82082.06450352</v>
      </c>
      <c r="F17" s="2" t="s">
        <v>0</v>
      </c>
      <c r="G17" s="2">
        <v>82173.907788299999</v>
      </c>
      <c r="H17" s="2" t="s">
        <v>0</v>
      </c>
      <c r="I17" s="2">
        <v>82173.907788299999</v>
      </c>
      <c r="J17" s="2" t="s">
        <v>0</v>
      </c>
      <c r="K17" s="2">
        <v>83216.257851240007</v>
      </c>
      <c r="L17" s="2" t="s">
        <v>0</v>
      </c>
      <c r="M17" s="22">
        <v>82157</v>
      </c>
      <c r="N17" s="2" t="s">
        <v>0</v>
      </c>
      <c r="O17" s="2">
        <v>81903.151493459998</v>
      </c>
      <c r="P17" s="2" t="s">
        <v>0</v>
      </c>
      <c r="Q17" s="2">
        <f t="shared" si="1"/>
        <v>-270.75629484000092</v>
      </c>
      <c r="R17" s="2" t="s">
        <v>0</v>
      </c>
      <c r="S17" s="2">
        <v>84093.218890000004</v>
      </c>
      <c r="T17" s="2" t="s">
        <v>0</v>
      </c>
      <c r="U17" s="35">
        <f t="shared" si="2"/>
        <v>83822.462595160003</v>
      </c>
      <c r="V17" s="2" t="s">
        <v>0</v>
      </c>
      <c r="W17" s="2">
        <f t="shared" si="3"/>
        <v>1042.3500629400078</v>
      </c>
      <c r="X17" s="2" t="s">
        <v>0</v>
      </c>
      <c r="Y17" s="2">
        <f>M17-G17</f>
        <v>-16.907788299999083</v>
      </c>
      <c r="Z17" s="28" t="s">
        <v>28</v>
      </c>
      <c r="AA17" s="28">
        <f t="shared" si="0"/>
        <v>1042.4871831424286</v>
      </c>
    </row>
    <row r="18" spans="2:27">
      <c r="N18" s="2"/>
    </row>
    <row r="19" spans="2:27">
      <c r="N19" s="2"/>
    </row>
    <row r="20" spans="2:27">
      <c r="N20" s="2"/>
    </row>
    <row r="21" spans="2:27">
      <c r="E21" s="34"/>
      <c r="G21" s="34"/>
      <c r="I21" s="34"/>
      <c r="K21" s="34"/>
      <c r="M21" s="2"/>
      <c r="N21" s="2"/>
      <c r="O21" s="34"/>
      <c r="S21" s="34"/>
      <c r="Z21" s="34"/>
    </row>
    <row r="22" spans="2:27">
      <c r="C22" s="34"/>
      <c r="N22" s="2"/>
    </row>
    <row r="23" spans="2:27">
      <c r="C23" s="34"/>
      <c r="N23" s="2"/>
    </row>
    <row r="24" spans="2:27">
      <c r="C24" s="34"/>
      <c r="M24" s="2"/>
      <c r="N24" s="2"/>
      <c r="Z24" s="28"/>
    </row>
    <row r="25" spans="2:27">
      <c r="N25" s="2"/>
    </row>
    <row r="26" spans="2:27">
      <c r="N26" s="2"/>
    </row>
    <row r="27" spans="2:27">
      <c r="N27" s="2"/>
    </row>
    <row r="28" spans="2:27">
      <c r="N28" s="2"/>
    </row>
    <row r="29" spans="2:27">
      <c r="N29" s="2"/>
    </row>
    <row r="30" spans="2:27">
      <c r="N30" s="2"/>
    </row>
    <row r="31" spans="2:27">
      <c r="N31" s="2"/>
    </row>
    <row r="32" spans="2:27">
      <c r="N32" s="2"/>
    </row>
    <row r="33" spans="14:14">
      <c r="N33" s="2"/>
    </row>
    <row r="34" spans="14:14">
      <c r="N34" s="2"/>
    </row>
    <row r="35" spans="14:14">
      <c r="N35" s="2"/>
    </row>
    <row r="36" spans="14:14">
      <c r="N36" s="2"/>
    </row>
    <row r="37" spans="14:14">
      <c r="N37" s="2"/>
    </row>
    <row r="38" spans="14:14">
      <c r="N38" s="2"/>
    </row>
    <row r="39" spans="14:14">
      <c r="N39" s="2"/>
    </row>
    <row r="40" spans="14:14">
      <c r="N40" s="2"/>
    </row>
    <row r="41" spans="14:14">
      <c r="N41" s="2"/>
    </row>
    <row r="42" spans="14:14">
      <c r="N42" s="2"/>
    </row>
    <row r="43" spans="14:14">
      <c r="N43" s="2"/>
    </row>
    <row r="44" spans="14:14">
      <c r="N44" s="2"/>
    </row>
    <row r="45" spans="14:14">
      <c r="N45" s="2"/>
    </row>
    <row r="46" spans="14:14">
      <c r="N46" s="2"/>
    </row>
    <row r="47" spans="14:14">
      <c r="N47" s="2"/>
    </row>
    <row r="48" spans="14:14">
      <c r="N48" s="2"/>
    </row>
    <row r="49" spans="14:14">
      <c r="N49" s="2"/>
    </row>
    <row r="50" spans="14:14">
      <c r="N50" s="2"/>
    </row>
    <row r="51" spans="14:14">
      <c r="N51" s="2"/>
    </row>
    <row r="52" spans="14:14">
      <c r="N52" s="2"/>
    </row>
    <row r="53" spans="14:14">
      <c r="N53" s="2"/>
    </row>
    <row r="54" spans="14:14">
      <c r="N54" s="2"/>
    </row>
    <row r="55" spans="14:14">
      <c r="N55" s="2"/>
    </row>
    <row r="56" spans="14:14">
      <c r="N56" s="2"/>
    </row>
    <row r="57" spans="14:14">
      <c r="N57" s="2"/>
    </row>
    <row r="58" spans="14:14">
      <c r="N58" s="2"/>
    </row>
    <row r="59" spans="14:14">
      <c r="N59" s="2"/>
    </row>
    <row r="60" spans="14:14">
      <c r="N60" s="2"/>
    </row>
    <row r="61" spans="14:14">
      <c r="N61" s="2"/>
    </row>
    <row r="62" spans="14:14">
      <c r="N62" s="2"/>
    </row>
    <row r="63" spans="14:14">
      <c r="N63" s="2"/>
    </row>
    <row r="64" spans="14:14">
      <c r="N64" s="2"/>
    </row>
    <row r="65" spans="14:14">
      <c r="N65" s="2"/>
    </row>
    <row r="66" spans="14:14">
      <c r="N66" s="2"/>
    </row>
    <row r="67" spans="14:14">
      <c r="N67" s="2"/>
    </row>
    <row r="68" spans="14:14">
      <c r="N68" s="2"/>
    </row>
    <row r="69" spans="14:14">
      <c r="N69" s="2"/>
    </row>
    <row r="70" spans="14:14">
      <c r="N70" s="2"/>
    </row>
    <row r="71" spans="14:14">
      <c r="N71" s="2"/>
    </row>
    <row r="72" spans="14:14">
      <c r="N72" s="2"/>
    </row>
    <row r="73" spans="14:14">
      <c r="N73" s="2"/>
    </row>
    <row r="74" spans="14:14">
      <c r="N74" s="2"/>
    </row>
    <row r="75" spans="14:14">
      <c r="N75" s="2"/>
    </row>
    <row r="76" spans="14:14">
      <c r="N76" s="2"/>
    </row>
    <row r="77" spans="14:14">
      <c r="N77" s="2"/>
    </row>
    <row r="78" spans="14:14">
      <c r="N78" s="2"/>
    </row>
    <row r="79" spans="14:14">
      <c r="N79" s="2"/>
    </row>
    <row r="80" spans="14:14">
      <c r="N80" s="2"/>
    </row>
    <row r="81" spans="14:14">
      <c r="N81" s="2"/>
    </row>
    <row r="82" spans="14:14">
      <c r="N82" s="2"/>
    </row>
    <row r="83" spans="14:14">
      <c r="N83" s="2"/>
    </row>
    <row r="84" spans="14:14">
      <c r="N84" s="2"/>
    </row>
    <row r="85" spans="14:14">
      <c r="N85" s="2"/>
    </row>
    <row r="86" spans="14:14">
      <c r="N86" s="2"/>
    </row>
    <row r="87" spans="14:14">
      <c r="N87" s="2"/>
    </row>
    <row r="88" spans="14:14">
      <c r="N88" s="2"/>
    </row>
    <row r="89" spans="14:14">
      <c r="N89" s="2"/>
    </row>
    <row r="90" spans="14:14">
      <c r="N90" s="2"/>
    </row>
    <row r="91" spans="14:14">
      <c r="N91" s="2"/>
    </row>
    <row r="92" spans="14:14">
      <c r="N92" s="2"/>
    </row>
    <row r="93" spans="14:14">
      <c r="N93" s="2"/>
    </row>
    <row r="94" spans="14:14">
      <c r="N94" s="2"/>
    </row>
    <row r="95" spans="14:14">
      <c r="N95" s="2"/>
    </row>
    <row r="96" spans="14:14">
      <c r="N96" s="2"/>
    </row>
    <row r="97" spans="14:14">
      <c r="N97" s="2"/>
    </row>
    <row r="98" spans="14:14">
      <c r="N98" s="2"/>
    </row>
    <row r="99" spans="14:14">
      <c r="N99" s="2"/>
    </row>
    <row r="100" spans="14:14">
      <c r="N100" s="2"/>
    </row>
    <row r="101" spans="14:14">
      <c r="N101" s="2"/>
    </row>
    <row r="102" spans="14:14">
      <c r="N102" s="2"/>
    </row>
    <row r="103" spans="14:14">
      <c r="N103" s="2"/>
    </row>
    <row r="104" spans="14:14">
      <c r="N104" s="2"/>
    </row>
    <row r="105" spans="14:14">
      <c r="N105" s="2"/>
    </row>
    <row r="106" spans="14:14">
      <c r="N106" s="2"/>
    </row>
    <row r="107" spans="14:14">
      <c r="N107" s="2"/>
    </row>
    <row r="108" spans="14:14">
      <c r="N108" s="2"/>
    </row>
    <row r="109" spans="14:14">
      <c r="N109" s="2"/>
    </row>
    <row r="110" spans="14:14">
      <c r="N110" s="2"/>
    </row>
    <row r="111" spans="14:14">
      <c r="N111" s="2"/>
    </row>
    <row r="112" spans="14:14">
      <c r="N112" s="2"/>
    </row>
    <row r="113" spans="14:14">
      <c r="N113" s="2"/>
    </row>
    <row r="114" spans="14:14">
      <c r="N114" s="2"/>
    </row>
    <row r="115" spans="14:14">
      <c r="N115" s="2"/>
    </row>
    <row r="116" spans="14:14">
      <c r="N116" s="2"/>
    </row>
    <row r="117" spans="14:14">
      <c r="N117" s="2"/>
    </row>
    <row r="118" spans="14:14">
      <c r="N118" s="2"/>
    </row>
    <row r="119" spans="14:14">
      <c r="N119" s="2"/>
    </row>
    <row r="120" spans="14:14">
      <c r="N120" s="2"/>
    </row>
    <row r="121" spans="14:14">
      <c r="N121" s="2"/>
    </row>
    <row r="122" spans="14:14">
      <c r="N122" s="2"/>
    </row>
    <row r="123" spans="14:14">
      <c r="N123" s="2"/>
    </row>
    <row r="124" spans="14:14">
      <c r="N124" s="2"/>
    </row>
    <row r="125" spans="14:14">
      <c r="N125" s="2"/>
    </row>
    <row r="126" spans="14:14">
      <c r="N126" s="2"/>
    </row>
    <row r="127" spans="14:14">
      <c r="N127" s="2"/>
    </row>
    <row r="128" spans="14:14">
      <c r="N128" s="2"/>
    </row>
    <row r="129" spans="14:14">
      <c r="N129" s="2"/>
    </row>
    <row r="130" spans="14:14">
      <c r="N130" s="2"/>
    </row>
    <row r="131" spans="14:14">
      <c r="N131" s="2"/>
    </row>
    <row r="132" spans="14:14">
      <c r="N132" s="2"/>
    </row>
    <row r="133" spans="14:14">
      <c r="N133" s="2"/>
    </row>
    <row r="134" spans="14:14">
      <c r="N134" s="2"/>
    </row>
    <row r="135" spans="14:14">
      <c r="N135" s="2"/>
    </row>
    <row r="136" spans="14:14">
      <c r="N136" s="2"/>
    </row>
    <row r="137" spans="14:14">
      <c r="N137" s="2"/>
    </row>
    <row r="138" spans="14:14">
      <c r="N138" s="2"/>
    </row>
    <row r="139" spans="14:14">
      <c r="N139" s="2"/>
    </row>
    <row r="140" spans="14:14">
      <c r="N140" s="2"/>
    </row>
    <row r="141" spans="14:14">
      <c r="N141" s="2"/>
    </row>
    <row r="142" spans="14:14">
      <c r="N142" s="2"/>
    </row>
    <row r="143" spans="14:14">
      <c r="N143" s="2"/>
    </row>
    <row r="144" spans="14:14">
      <c r="N144" s="2"/>
    </row>
    <row r="145" spans="14:14">
      <c r="N145" s="2"/>
    </row>
    <row r="146" spans="14:14">
      <c r="N146" s="2"/>
    </row>
    <row r="147" spans="14:14">
      <c r="N147" s="2"/>
    </row>
    <row r="148" spans="14:14">
      <c r="N148" s="2"/>
    </row>
    <row r="149" spans="14:14">
      <c r="N149" s="2"/>
    </row>
    <row r="150" spans="14:14">
      <c r="N150" s="2"/>
    </row>
    <row r="151" spans="14:14">
      <c r="N151" s="2"/>
    </row>
    <row r="152" spans="14:14">
      <c r="N152" s="2"/>
    </row>
    <row r="153" spans="14:14">
      <c r="N153" s="2"/>
    </row>
    <row r="154" spans="14:14">
      <c r="N154" s="2"/>
    </row>
    <row r="155" spans="14:14">
      <c r="N155" s="2"/>
    </row>
    <row r="156" spans="14:14">
      <c r="N156" s="2"/>
    </row>
    <row r="157" spans="14:14">
      <c r="N157" s="2"/>
    </row>
    <row r="158" spans="14:14">
      <c r="N158" s="2"/>
    </row>
    <row r="159" spans="14:14">
      <c r="N159" s="2"/>
    </row>
    <row r="160" spans="14:14">
      <c r="N160" s="2"/>
    </row>
    <row r="161" spans="14:14">
      <c r="N161" s="2"/>
    </row>
    <row r="162" spans="14:14">
      <c r="N162" s="2"/>
    </row>
    <row r="163" spans="14:14">
      <c r="N163" s="2"/>
    </row>
    <row r="164" spans="14:14">
      <c r="N164" s="2"/>
    </row>
    <row r="165" spans="14:14">
      <c r="N165" s="2"/>
    </row>
    <row r="166" spans="14:14">
      <c r="N166" s="2"/>
    </row>
    <row r="167" spans="14:14">
      <c r="N167" s="2"/>
    </row>
    <row r="168" spans="14:14">
      <c r="N168" s="2"/>
    </row>
    <row r="169" spans="14:14">
      <c r="N169" s="2"/>
    </row>
    <row r="170" spans="14:14">
      <c r="N170" s="2"/>
    </row>
    <row r="171" spans="14:14">
      <c r="N171" s="2"/>
    </row>
    <row r="172" spans="14:14">
      <c r="N172" s="2"/>
    </row>
    <row r="173" spans="14:14">
      <c r="N173" s="2"/>
    </row>
    <row r="174" spans="14:14">
      <c r="N174" s="2"/>
    </row>
    <row r="175" spans="14:14">
      <c r="N175" s="2"/>
    </row>
    <row r="176" spans="14:14">
      <c r="N176" s="2"/>
    </row>
    <row r="177" spans="14:14">
      <c r="N177" s="2"/>
    </row>
    <row r="178" spans="14:14">
      <c r="N178" s="2"/>
    </row>
    <row r="179" spans="14:14">
      <c r="N179" s="2"/>
    </row>
    <row r="180" spans="14:14">
      <c r="N180" s="2"/>
    </row>
    <row r="181" spans="14:14">
      <c r="N181" s="2"/>
    </row>
    <row r="182" spans="14:14">
      <c r="N182" s="2"/>
    </row>
    <row r="183" spans="14:14">
      <c r="N183" s="2"/>
    </row>
    <row r="184" spans="14:14">
      <c r="N184" s="2"/>
    </row>
    <row r="185" spans="14:14">
      <c r="N185" s="2"/>
    </row>
    <row r="186" spans="14:14">
      <c r="N186" s="2"/>
    </row>
    <row r="187" spans="14:14">
      <c r="N187" s="2"/>
    </row>
    <row r="188" spans="14:14">
      <c r="N188" s="2"/>
    </row>
    <row r="189" spans="14:14">
      <c r="N189" s="2"/>
    </row>
    <row r="190" spans="14:14">
      <c r="N190" s="2"/>
    </row>
    <row r="191" spans="14:14">
      <c r="N191" s="2"/>
    </row>
    <row r="192" spans="14:14">
      <c r="N192" s="2"/>
    </row>
    <row r="193" spans="14:14">
      <c r="N193" s="2"/>
    </row>
    <row r="194" spans="14:14">
      <c r="N194" s="2"/>
    </row>
    <row r="195" spans="14:14">
      <c r="N195" s="2"/>
    </row>
    <row r="196" spans="14:14">
      <c r="N196" s="2"/>
    </row>
    <row r="197" spans="14:14">
      <c r="N197" s="2"/>
    </row>
    <row r="198" spans="14:14">
      <c r="N198" s="2"/>
    </row>
    <row r="199" spans="14:14">
      <c r="N199" s="2"/>
    </row>
    <row r="200" spans="14:14">
      <c r="N200" s="2"/>
    </row>
    <row r="201" spans="14:14">
      <c r="N201" s="2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9339-EFE6-594C-8981-95C36A612625}">
  <dimension ref="A1:Z200"/>
  <sheetViews>
    <sheetView topLeftCell="C1" workbookViewId="0">
      <selection activeCell="E1" sqref="E1"/>
    </sheetView>
  </sheetViews>
  <sheetFormatPr baseColWidth="10" defaultColWidth="9" defaultRowHeight="15"/>
  <cols>
    <col min="1" max="1" width="15.33203125" style="2" customWidth="1"/>
    <col min="2" max="2" width="3.33203125" style="2" bestFit="1" customWidth="1"/>
    <col min="3" max="3" width="9.33203125" style="2" bestFit="1" customWidth="1"/>
    <col min="4" max="4" width="3.33203125" style="2" bestFit="1" customWidth="1"/>
    <col min="5" max="5" width="29" style="2" customWidth="1"/>
    <col min="6" max="6" width="4.6640625" style="2" bestFit="1" customWidth="1"/>
    <col min="7" max="7" width="44.1640625" style="2" bestFit="1" customWidth="1"/>
    <col min="8" max="8" width="3.33203125" style="2" bestFit="1" customWidth="1"/>
    <col min="9" max="9" width="50.83203125" style="2" customWidth="1"/>
    <col min="10" max="10" width="26" style="2" bestFit="1" customWidth="1"/>
    <col min="11" max="26" width="9" style="2"/>
    <col min="27" max="16384" width="9" style="12"/>
  </cols>
  <sheetData>
    <row r="1" spans="1:26">
      <c r="A1" s="37"/>
      <c r="B1" s="2" t="s">
        <v>0</v>
      </c>
      <c r="C1" s="37"/>
      <c r="D1" s="2" t="s">
        <v>0</v>
      </c>
      <c r="E1" s="2" t="s">
        <v>254</v>
      </c>
      <c r="F1" s="2" t="s">
        <v>188</v>
      </c>
      <c r="G1" s="23" t="s">
        <v>189</v>
      </c>
      <c r="H1" s="38"/>
      <c r="I1" s="38"/>
      <c r="J1" s="39" t="s">
        <v>190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17" t="s">
        <v>139</v>
      </c>
      <c r="B2" s="17"/>
      <c r="C2" s="17"/>
      <c r="D2" s="2" t="s">
        <v>0</v>
      </c>
      <c r="E2" s="2" t="s">
        <v>191</v>
      </c>
      <c r="F2" s="2" t="s">
        <v>188</v>
      </c>
      <c r="G2" s="34" t="s">
        <v>157</v>
      </c>
      <c r="H2" s="2" t="s">
        <v>0</v>
      </c>
      <c r="I2" s="26" t="s">
        <v>192</v>
      </c>
      <c r="J2" s="21" t="s">
        <v>11</v>
      </c>
      <c r="K2" s="21"/>
      <c r="L2" s="21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>
      <c r="A3" s="2" t="s">
        <v>14</v>
      </c>
      <c r="B3" s="2" t="s">
        <v>0</v>
      </c>
      <c r="C3" s="2" t="s">
        <v>15</v>
      </c>
      <c r="D3" s="2" t="s">
        <v>0</v>
      </c>
      <c r="E3" s="2" t="s">
        <v>193</v>
      </c>
      <c r="F3" s="2" t="s">
        <v>188</v>
      </c>
      <c r="G3" s="2" t="s">
        <v>194</v>
      </c>
      <c r="H3" s="2" t="s">
        <v>0</v>
      </c>
      <c r="I3" s="2" t="s">
        <v>195</v>
      </c>
      <c r="J3" s="21" t="s">
        <v>13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>
      <c r="A4" s="2" t="s">
        <v>18</v>
      </c>
      <c r="B4" s="2" t="s">
        <v>0</v>
      </c>
      <c r="C4" s="2" t="s">
        <v>19</v>
      </c>
      <c r="D4" s="2" t="s">
        <v>0</v>
      </c>
      <c r="E4" s="2" t="s">
        <v>196</v>
      </c>
      <c r="F4" s="2" t="s">
        <v>188</v>
      </c>
      <c r="G4" s="2" t="s">
        <v>197</v>
      </c>
      <c r="H4" s="2" t="s">
        <v>0</v>
      </c>
      <c r="I4" s="2" t="s">
        <v>198</v>
      </c>
      <c r="J4" s="21" t="s">
        <v>13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>
      <c r="A5" s="37"/>
      <c r="B5" s="2" t="s">
        <v>0</v>
      </c>
      <c r="C5" s="2" t="s">
        <v>20</v>
      </c>
      <c r="D5" s="2" t="s">
        <v>0</v>
      </c>
      <c r="E5" s="2" t="s">
        <v>199</v>
      </c>
      <c r="F5" s="2" t="s">
        <v>188</v>
      </c>
      <c r="G5" s="2" t="s">
        <v>200</v>
      </c>
      <c r="H5" s="2" t="s">
        <v>0</v>
      </c>
      <c r="I5" s="2" t="s">
        <v>201</v>
      </c>
      <c r="J5" s="21" t="s">
        <v>13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>
      <c r="A6" s="37"/>
      <c r="B6" s="2" t="s">
        <v>0</v>
      </c>
      <c r="C6" s="2" t="s">
        <v>21</v>
      </c>
      <c r="D6" s="2" t="s">
        <v>0</v>
      </c>
      <c r="E6" s="2" t="s">
        <v>199</v>
      </c>
      <c r="F6" s="2" t="s">
        <v>188</v>
      </c>
      <c r="G6" s="2" t="s">
        <v>202</v>
      </c>
      <c r="H6" s="2" t="s">
        <v>0</v>
      </c>
      <c r="I6" s="2" t="s">
        <v>203</v>
      </c>
      <c r="J6" s="21" t="s">
        <v>13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>
      <c r="A7" s="37"/>
      <c r="B7" s="2" t="s">
        <v>0</v>
      </c>
      <c r="C7" s="2" t="s">
        <v>22</v>
      </c>
      <c r="D7" s="2" t="s">
        <v>0</v>
      </c>
      <c r="E7" s="2" t="s">
        <v>204</v>
      </c>
      <c r="F7" s="2" t="s">
        <v>188</v>
      </c>
      <c r="G7" s="2" t="s">
        <v>205</v>
      </c>
      <c r="H7" s="2" t="s">
        <v>0</v>
      </c>
      <c r="I7" s="2" t="s">
        <v>206</v>
      </c>
      <c r="J7" s="21" t="s">
        <v>13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>
      <c r="A8" s="2" t="s">
        <v>23</v>
      </c>
      <c r="B8" s="2" t="s">
        <v>0</v>
      </c>
      <c r="C8" s="2" t="s">
        <v>24</v>
      </c>
      <c r="D8" s="2" t="s">
        <v>0</v>
      </c>
      <c r="E8" s="2" t="s">
        <v>207</v>
      </c>
      <c r="F8" s="2" t="s">
        <v>188</v>
      </c>
      <c r="G8" s="2" t="s">
        <v>208</v>
      </c>
      <c r="H8" s="2" t="s">
        <v>0</v>
      </c>
      <c r="I8" s="2" t="s">
        <v>209</v>
      </c>
      <c r="J8" s="21" t="s">
        <v>13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>
      <c r="A9" s="37"/>
      <c r="B9" s="2" t="s">
        <v>0</v>
      </c>
      <c r="C9" s="2" t="s">
        <v>15</v>
      </c>
      <c r="D9" s="2" t="s">
        <v>0</v>
      </c>
      <c r="E9" s="2" t="s">
        <v>207</v>
      </c>
      <c r="F9" s="2" t="s">
        <v>188</v>
      </c>
      <c r="G9" s="2" t="s">
        <v>210</v>
      </c>
      <c r="H9" s="2" t="s">
        <v>0</v>
      </c>
      <c r="I9" s="2" t="s">
        <v>209</v>
      </c>
      <c r="J9" s="21" t="s">
        <v>13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>
      <c r="A10" s="2" t="s">
        <v>25</v>
      </c>
      <c r="B10" s="2" t="s">
        <v>0</v>
      </c>
      <c r="C10" s="2" t="s">
        <v>21</v>
      </c>
      <c r="D10" s="2" t="s">
        <v>0</v>
      </c>
      <c r="E10" s="2" t="s">
        <v>211</v>
      </c>
      <c r="F10" s="2" t="s">
        <v>188</v>
      </c>
      <c r="G10" s="2" t="s">
        <v>212</v>
      </c>
      <c r="H10" s="2" t="s">
        <v>0</v>
      </c>
      <c r="I10" s="2" t="s">
        <v>213</v>
      </c>
      <c r="J10" s="21" t="s">
        <v>13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>
      <c r="A11" s="2" t="s">
        <v>26</v>
      </c>
      <c r="B11" s="2" t="s">
        <v>0</v>
      </c>
      <c r="C11" s="2" t="s">
        <v>19</v>
      </c>
      <c r="D11" s="2" t="s">
        <v>0</v>
      </c>
      <c r="E11" s="2" t="s">
        <v>214</v>
      </c>
      <c r="F11" s="2" t="s">
        <v>188</v>
      </c>
      <c r="G11" s="2" t="s">
        <v>215</v>
      </c>
      <c r="H11" s="2" t="s">
        <v>0</v>
      </c>
      <c r="I11" s="2" t="s">
        <v>216</v>
      </c>
      <c r="J11" s="21" t="s">
        <v>13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>
      <c r="A12" s="37"/>
      <c r="B12" s="2" t="s">
        <v>0</v>
      </c>
      <c r="C12" s="2" t="s">
        <v>20</v>
      </c>
      <c r="D12" s="2" t="s">
        <v>0</v>
      </c>
      <c r="E12" s="2" t="s">
        <v>214</v>
      </c>
      <c r="F12" s="2" t="s">
        <v>188</v>
      </c>
      <c r="G12" s="2" t="s">
        <v>215</v>
      </c>
      <c r="H12" s="2" t="s">
        <v>0</v>
      </c>
      <c r="I12" s="2" t="s">
        <v>217</v>
      </c>
      <c r="J12" s="21" t="s">
        <v>13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>
      <c r="A13" s="2" t="s">
        <v>25</v>
      </c>
      <c r="B13" s="2" t="s">
        <v>0</v>
      </c>
      <c r="C13" s="2" t="s">
        <v>27</v>
      </c>
      <c r="D13" s="2" t="s">
        <v>0</v>
      </c>
      <c r="E13" s="2" t="s">
        <v>218</v>
      </c>
      <c r="F13" s="2" t="s">
        <v>188</v>
      </c>
      <c r="G13" s="2" t="s">
        <v>219</v>
      </c>
      <c r="H13" s="2" t="s">
        <v>0</v>
      </c>
      <c r="I13" s="2" t="s">
        <v>220</v>
      </c>
      <c r="J13" s="21" t="s">
        <v>28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>
      <c r="A14" s="37"/>
      <c r="B14" s="37"/>
      <c r="C14" s="37"/>
      <c r="D14" s="37"/>
      <c r="E14" s="37"/>
      <c r="F14" s="37"/>
      <c r="G14" s="34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33" spans="1:26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</sheetData>
  <mergeCells count="2">
    <mergeCell ref="G1:I1"/>
    <mergeCell ref="A2:C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8B92-964C-A04B-ADF7-E03E603CEBA0}">
  <dimension ref="A1:Z15"/>
  <sheetViews>
    <sheetView workbookViewId="0">
      <selection activeCell="E1" sqref="E1"/>
    </sheetView>
  </sheetViews>
  <sheetFormatPr baseColWidth="10" defaultRowHeight="15"/>
  <sheetData>
    <row r="1" spans="1:26" s="12" customFormat="1">
      <c r="A1" s="37"/>
      <c r="B1" s="2" t="s">
        <v>0</v>
      </c>
      <c r="C1" s="37"/>
      <c r="D1" s="2" t="s">
        <v>0</v>
      </c>
      <c r="E1" s="2" t="s">
        <v>254</v>
      </c>
      <c r="F1" s="2" t="s">
        <v>188</v>
      </c>
      <c r="G1" s="23" t="s">
        <v>189</v>
      </c>
      <c r="H1" s="38"/>
      <c r="I1" s="38"/>
      <c r="J1" s="39" t="s">
        <v>190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s="12" customFormat="1">
      <c r="A2" s="17" t="s">
        <v>139</v>
      </c>
      <c r="B2" s="17"/>
      <c r="C2" s="17"/>
      <c r="D2" s="2" t="s">
        <v>0</v>
      </c>
      <c r="E2" s="2" t="s">
        <v>191</v>
      </c>
      <c r="F2" s="2" t="s">
        <v>188</v>
      </c>
      <c r="G2" s="34" t="s">
        <v>157</v>
      </c>
      <c r="H2" s="2" t="s">
        <v>0</v>
      </c>
      <c r="I2" s="26" t="s">
        <v>192</v>
      </c>
      <c r="J2" s="21" t="s">
        <v>11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s="12" customFormat="1">
      <c r="A3" s="2" t="s">
        <v>82</v>
      </c>
      <c r="B3" s="2" t="s">
        <v>0</v>
      </c>
      <c r="C3" s="2" t="s">
        <v>15</v>
      </c>
      <c r="D3" s="2" t="s">
        <v>0</v>
      </c>
      <c r="E3" s="2" t="s">
        <v>221</v>
      </c>
      <c r="F3" s="2" t="s">
        <v>188</v>
      </c>
      <c r="G3" s="2" t="s">
        <v>222</v>
      </c>
      <c r="H3" s="2" t="s">
        <v>0</v>
      </c>
      <c r="I3" s="2" t="s">
        <v>223</v>
      </c>
      <c r="J3" s="21" t="s">
        <v>127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s="12" customFormat="1">
      <c r="A4" s="2" t="s">
        <v>31</v>
      </c>
      <c r="B4" s="2" t="s">
        <v>0</v>
      </c>
      <c r="C4" s="2" t="s">
        <v>21</v>
      </c>
      <c r="D4" s="2" t="s">
        <v>0</v>
      </c>
      <c r="E4" s="2" t="s">
        <v>224</v>
      </c>
      <c r="F4" s="2" t="s">
        <v>188</v>
      </c>
      <c r="G4" s="2" t="s">
        <v>225</v>
      </c>
      <c r="H4" s="2" t="s">
        <v>0</v>
      </c>
      <c r="I4" s="2" t="s">
        <v>226</v>
      </c>
      <c r="J4" s="21" t="s">
        <v>13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s="12" customFormat="1">
      <c r="A5" s="37"/>
      <c r="B5" s="2" t="s">
        <v>0</v>
      </c>
      <c r="C5" s="2" t="s">
        <v>32</v>
      </c>
      <c r="D5" s="2" t="s">
        <v>0</v>
      </c>
      <c r="E5" s="2" t="s">
        <v>227</v>
      </c>
      <c r="F5" s="2" t="s">
        <v>188</v>
      </c>
      <c r="G5" s="2" t="s">
        <v>228</v>
      </c>
      <c r="H5" s="2" t="s">
        <v>0</v>
      </c>
      <c r="I5" s="2" t="s">
        <v>229</v>
      </c>
      <c r="J5" s="21" t="s">
        <v>13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s="12" customFormat="1">
      <c r="A6" s="2" t="s">
        <v>33</v>
      </c>
      <c r="B6" s="2" t="s">
        <v>0</v>
      </c>
      <c r="C6" s="2" t="s">
        <v>19</v>
      </c>
      <c r="D6" s="2" t="s">
        <v>0</v>
      </c>
      <c r="E6" s="2" t="s">
        <v>230</v>
      </c>
      <c r="F6" s="2" t="s">
        <v>188</v>
      </c>
      <c r="G6" s="2" t="s">
        <v>231</v>
      </c>
      <c r="H6" s="2" t="s">
        <v>0</v>
      </c>
      <c r="I6" s="2" t="s">
        <v>232</v>
      </c>
      <c r="J6" s="21" t="s">
        <v>13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s="12" customFormat="1">
      <c r="A7" s="37"/>
      <c r="B7" s="2" t="s">
        <v>0</v>
      </c>
      <c r="C7" s="2" t="s">
        <v>20</v>
      </c>
      <c r="D7" s="2" t="s">
        <v>0</v>
      </c>
      <c r="E7" s="2" t="s">
        <v>233</v>
      </c>
      <c r="F7" s="2" t="s">
        <v>188</v>
      </c>
      <c r="G7" s="2" t="s">
        <v>234</v>
      </c>
      <c r="H7" s="2" t="s">
        <v>0</v>
      </c>
      <c r="I7" s="2" t="s">
        <v>235</v>
      </c>
      <c r="J7" s="21" t="s">
        <v>13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s="12" customFormat="1">
      <c r="A8" s="2" t="s">
        <v>31</v>
      </c>
      <c r="B8" s="2" t="s">
        <v>0</v>
      </c>
      <c r="C8" s="2" t="s">
        <v>34</v>
      </c>
      <c r="D8" s="2" t="s">
        <v>0</v>
      </c>
      <c r="E8" s="2" t="s">
        <v>227</v>
      </c>
      <c r="F8" s="2" t="s">
        <v>188</v>
      </c>
      <c r="G8" s="2" t="s">
        <v>228</v>
      </c>
      <c r="H8" s="2" t="s">
        <v>0</v>
      </c>
      <c r="I8" s="2" t="s">
        <v>226</v>
      </c>
      <c r="J8" s="21" t="s">
        <v>13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s="12" customFormat="1">
      <c r="A9" s="37"/>
      <c r="B9" s="2" t="s">
        <v>0</v>
      </c>
      <c r="C9" s="2" t="s">
        <v>35</v>
      </c>
      <c r="D9" s="2" t="s">
        <v>0</v>
      </c>
      <c r="E9" s="2" t="s">
        <v>236</v>
      </c>
      <c r="F9" s="2" t="s">
        <v>188</v>
      </c>
      <c r="G9" s="2" t="s">
        <v>237</v>
      </c>
      <c r="H9" s="2" t="s">
        <v>0</v>
      </c>
      <c r="I9" s="2" t="s">
        <v>238</v>
      </c>
      <c r="J9" s="21" t="s">
        <v>13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s="12" customFormat="1">
      <c r="A10" s="37"/>
      <c r="B10" s="2" t="s">
        <v>0</v>
      </c>
      <c r="C10" s="2" t="s">
        <v>20</v>
      </c>
      <c r="D10" s="2" t="s">
        <v>0</v>
      </c>
      <c r="E10" s="2" t="s">
        <v>239</v>
      </c>
      <c r="F10" s="2" t="s">
        <v>188</v>
      </c>
      <c r="G10" s="2" t="s">
        <v>240</v>
      </c>
      <c r="H10" s="2" t="s">
        <v>0</v>
      </c>
      <c r="I10" s="2" t="s">
        <v>241</v>
      </c>
      <c r="J10" s="21" t="s">
        <v>13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s="12" customFormat="1">
      <c r="A11" s="37"/>
      <c r="B11" s="2" t="s">
        <v>0</v>
      </c>
      <c r="C11" s="2" t="s">
        <v>36</v>
      </c>
      <c r="D11" s="2" t="s">
        <v>0</v>
      </c>
      <c r="E11" s="2" t="s">
        <v>242</v>
      </c>
      <c r="F11" s="2" t="s">
        <v>188</v>
      </c>
      <c r="G11" s="2" t="s">
        <v>228</v>
      </c>
      <c r="H11" s="2" t="s">
        <v>0</v>
      </c>
      <c r="I11" s="2" t="s">
        <v>226</v>
      </c>
      <c r="J11" s="21" t="s">
        <v>13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s="12" customFormat="1">
      <c r="A12" s="37"/>
      <c r="B12" s="2" t="s">
        <v>0</v>
      </c>
      <c r="C12" s="2" t="s">
        <v>243</v>
      </c>
      <c r="D12" s="2" t="s">
        <v>0</v>
      </c>
      <c r="E12" s="2" t="s">
        <v>224</v>
      </c>
      <c r="F12" s="2" t="s">
        <v>188</v>
      </c>
      <c r="G12" s="2" t="s">
        <v>244</v>
      </c>
      <c r="H12" s="2" t="s">
        <v>0</v>
      </c>
      <c r="I12" s="2" t="s">
        <v>226</v>
      </c>
      <c r="J12" s="21" t="s">
        <v>13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s="12" customFormat="1">
      <c r="A13" s="37"/>
      <c r="B13" s="2" t="s">
        <v>0</v>
      </c>
      <c r="C13" s="2" t="s">
        <v>20</v>
      </c>
      <c r="D13" s="2" t="s">
        <v>0</v>
      </c>
      <c r="E13" s="2" t="s">
        <v>236</v>
      </c>
      <c r="F13" s="2" t="s">
        <v>188</v>
      </c>
      <c r="G13" s="2" t="s">
        <v>245</v>
      </c>
      <c r="H13" s="2" t="s">
        <v>0</v>
      </c>
      <c r="I13" s="2" t="s">
        <v>246</v>
      </c>
      <c r="J13" s="21" t="s">
        <v>13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s="12" customFormat="1">
      <c r="A14" s="2" t="s">
        <v>33</v>
      </c>
      <c r="B14" s="2" t="s">
        <v>0</v>
      </c>
      <c r="C14" s="2" t="s">
        <v>21</v>
      </c>
      <c r="D14" s="2" t="s">
        <v>0</v>
      </c>
      <c r="E14" s="2" t="s">
        <v>247</v>
      </c>
      <c r="F14" s="2" t="s">
        <v>188</v>
      </c>
      <c r="G14" s="2" t="s">
        <v>248</v>
      </c>
      <c r="H14" s="2" t="s">
        <v>0</v>
      </c>
      <c r="I14" s="2" t="s">
        <v>249</v>
      </c>
      <c r="J14" s="21" t="s">
        <v>13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s="12" customFormat="1">
      <c r="A15" s="37"/>
      <c r="B15" s="2" t="s">
        <v>0</v>
      </c>
      <c r="C15" s="2" t="s">
        <v>22</v>
      </c>
      <c r="D15" s="2" t="s">
        <v>0</v>
      </c>
      <c r="E15" s="2" t="s">
        <v>247</v>
      </c>
      <c r="F15" s="2" t="s">
        <v>188</v>
      </c>
      <c r="G15" s="2" t="s">
        <v>250</v>
      </c>
      <c r="H15" s="2" t="s">
        <v>0</v>
      </c>
      <c r="I15" s="2" t="s">
        <v>251</v>
      </c>
      <c r="J15" s="21" t="s">
        <v>28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</sheetData>
  <mergeCells count="2">
    <mergeCell ref="G1:I1"/>
    <mergeCell ref="A2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table I Hg</vt:lpstr>
      <vt:lpstr>table II Cn</vt:lpstr>
      <vt:lpstr>table III FS</vt:lpstr>
      <vt:lpstr>table IV FS comparison</vt:lpstr>
      <vt:lpstr>table V alpha</vt:lpstr>
      <vt:lpstr>table VI CCSD(T)</vt:lpstr>
      <vt:lpstr>S I model</vt:lpstr>
      <vt:lpstr>S II Hg CI+MBPT</vt:lpstr>
      <vt:lpstr>S III Cn CI+MBPT</vt:lpstr>
      <vt:lpstr>S IV Hg per</vt:lpstr>
      <vt:lpstr>S V Cn 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Ji-Ze Han</dc:creator>
  <cp:lastModifiedBy>seven L</cp:lastModifiedBy>
  <dcterms:created xsi:type="dcterms:W3CDTF">2015-06-05T18:19:34Z</dcterms:created>
  <dcterms:modified xsi:type="dcterms:W3CDTF">2026-01-22T00:46:05Z</dcterms:modified>
</cp:coreProperties>
</file>